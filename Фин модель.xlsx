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инМодель (УСН)_ЦЕХ+Самовывоз" sheetId="1" r:id="rId4"/>
    <sheet state="visible" name="PL" sheetId="2" r:id="rId5"/>
    <sheet state="visible" name="Смета открытия_Стрит+Самовывоз " sheetId="3" r:id="rId6"/>
    <sheet state="visible" name="ТЗ на поиск локации" sheetId="4" r:id="rId7"/>
    <sheet state="hidden" name="Е-Коммерс" sheetId="5" r:id="rId8"/>
  </sheets>
  <definedNames/>
  <calcPr/>
  <extLst>
    <ext uri="GoogleSheetsCustomDataVersion2">
      <go:sheetsCustomData xmlns:go="http://customooxmlschemas.google.com/" r:id="rId9" roundtripDataChecksum="9UvhMbnXWO527coRWqarH768j8eejXjmNWP/9xlPSgk="/>
    </ext>
  </extLst>
</workbook>
</file>

<file path=xl/sharedStrings.xml><?xml version="1.0" encoding="utf-8"?>
<sst xmlns="http://schemas.openxmlformats.org/spreadsheetml/2006/main" count="459" uniqueCount="316">
  <si>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</si>
  <si>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</si>
  <si>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</si>
  <si>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</si>
  <si>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</si>
  <si>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</si>
  <si>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</si>
  <si>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</si>
  <si>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</si>
  <si>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</si>
  <si>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</si>
  <si>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</si>
  <si>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</si>
  <si>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</si>
  <si>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</si>
  <si>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</si>
  <si>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</si>
  <si>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</si>
  <si>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</si>
  <si>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Сентябрь 2026</t>
  </si>
  <si>
    <t>Октябрь 2026</t>
  </si>
  <si>
    <t>Ноябрь 2026</t>
  </si>
  <si>
    <t>Декабрь 2026</t>
  </si>
  <si>
    <t>Январь 2027</t>
  </si>
  <si>
    <t>Февраль 2027</t>
  </si>
  <si>
    <t>Март 2027</t>
  </si>
  <si>
    <t>Апрель 2027</t>
  </si>
  <si>
    <t>Май 2027</t>
  </si>
  <si>
    <t>Июнь 2027</t>
  </si>
  <si>
    <t>Июль 2027</t>
  </si>
  <si>
    <t>Август 2027</t>
  </si>
  <si>
    <t>Сентябрь 2027</t>
  </si>
  <si>
    <t xml:space="preserve">Октябрь 2027 </t>
  </si>
  <si>
    <t>Ноябрь 2027</t>
  </si>
  <si>
    <t>Декабрь 2027</t>
  </si>
  <si>
    <t>Январь 2028</t>
  </si>
  <si>
    <t>Статья</t>
  </si>
  <si>
    <t>Комментарий</t>
  </si>
  <si>
    <t>Месяц 1</t>
  </si>
  <si>
    <t>Месяц 2</t>
  </si>
  <si>
    <t>Месяц 3</t>
  </si>
  <si>
    <t>Месяц 4</t>
  </si>
  <si>
    <t>Месяц 5</t>
  </si>
  <si>
    <t>Месяц 6</t>
  </si>
  <si>
    <t>Месяц 7</t>
  </si>
  <si>
    <t>Месяц 8</t>
  </si>
  <si>
    <t>Месяц 9</t>
  </si>
  <si>
    <t>Месяц 10</t>
  </si>
  <si>
    <t>Месяц 11</t>
  </si>
  <si>
    <t>Месяц 12</t>
  </si>
  <si>
    <t>Месяц 13</t>
  </si>
  <si>
    <t>Месяц 14</t>
  </si>
  <si>
    <t>Месяц 15</t>
  </si>
  <si>
    <t>Месяц 16</t>
  </si>
  <si>
    <t>Месяц 17</t>
  </si>
  <si>
    <t>Месяц 18</t>
  </si>
  <si>
    <t>Месяц 19</t>
  </si>
  <si>
    <t>Месяц 20</t>
  </si>
  <si>
    <t>Месяц 21</t>
  </si>
  <si>
    <t>Месяц 22</t>
  </si>
  <si>
    <t>Месяц 23</t>
  </si>
  <si>
    <t>Месяц 24</t>
  </si>
  <si>
    <t>Месяц 25</t>
  </si>
  <si>
    <t>Месяц 26</t>
  </si>
  <si>
    <t>Месяц 27</t>
  </si>
  <si>
    <t>Месяц 28</t>
  </si>
  <si>
    <t>Месяц 29</t>
  </si>
  <si>
    <t>Месяц 30</t>
  </si>
  <si>
    <t>Месяц 31</t>
  </si>
  <si>
    <t>Месяц 32</t>
  </si>
  <si>
    <t>Месяц 33</t>
  </si>
  <si>
    <t>Месяц 34</t>
  </si>
  <si>
    <t>Месяц 35</t>
  </si>
  <si>
    <t>Месяц 36</t>
  </si>
  <si>
    <t>1. Валовая прибыль</t>
  </si>
  <si>
    <t>Выручка</t>
  </si>
  <si>
    <t xml:space="preserve">Выручка собственных каналов </t>
  </si>
  <si>
    <t>Касса + Самовывоз</t>
  </si>
  <si>
    <t>Касса</t>
  </si>
  <si>
    <t>Колл-центр</t>
  </si>
  <si>
    <t>Приложение</t>
  </si>
  <si>
    <t>Сайт</t>
  </si>
  <si>
    <t>Доставка</t>
  </si>
  <si>
    <t xml:space="preserve">Выручка агрегаторов </t>
  </si>
  <si>
    <t>Самовывоз</t>
  </si>
  <si>
    <t>Доля СМП</t>
  </si>
  <si>
    <t>Доля агрегаторов</t>
  </si>
  <si>
    <t>2. Роялти и себестоимость</t>
  </si>
  <si>
    <t>РОЯЛТИ</t>
  </si>
  <si>
    <t xml:space="preserve">Первые 6 месяцев - 5% 
с 7 месяца - 6% </t>
  </si>
  <si>
    <t>Себестоимость (продуктовая)</t>
  </si>
  <si>
    <t>Упаковка и БН</t>
  </si>
  <si>
    <t>Списания на хозрасходы</t>
  </si>
  <si>
    <t>Порча, брак</t>
  </si>
  <si>
    <t>Скидки (майбаксы, сертификаты)</t>
  </si>
  <si>
    <t>Скидки агрегаторы</t>
  </si>
  <si>
    <t>3. Расходы ТО</t>
  </si>
  <si>
    <t>3.1. Расходы на аренду и содержание помещений</t>
  </si>
  <si>
    <t>Аренда помещений</t>
  </si>
  <si>
    <t>Ср значение по сети 10% + плюс индексация 5%</t>
  </si>
  <si>
    <t>Коммунальные услуги</t>
  </si>
  <si>
    <t>Ср значение по сети 1,5%-2%</t>
  </si>
  <si>
    <t>-40 000р.</t>
  </si>
  <si>
    <t>3.2. Расходы на рекламу и маркетинг</t>
  </si>
  <si>
    <t>Брендинг, полиграфия и дизайн</t>
  </si>
  <si>
    <t>Реклама и маркетинг</t>
  </si>
  <si>
    <t>3.3. Расходы на персонал</t>
  </si>
  <si>
    <t>ФОТ персонала торгового отдела (повара + кассиры)</t>
  </si>
  <si>
    <t>Затраты Доставка</t>
  </si>
  <si>
    <t>Налоги от ФОТ (НДФЛ + страховые взносы)</t>
  </si>
  <si>
    <t>Компенсация проезда, доставка сотрудников до места работы</t>
  </si>
  <si>
    <t>Расходы на айти, ПО, интернет, тел связь</t>
  </si>
  <si>
    <t>Расходы на доставку (логистика до РСТ)</t>
  </si>
  <si>
    <t>Расходы на персонал</t>
  </si>
  <si>
    <t>Канцтовары и пр расходы</t>
  </si>
  <si>
    <t>ТО и ремонт, клининг, охрана</t>
  </si>
  <si>
    <t>4. Прибыль отделов (до налогов и косвенных затрат)</t>
  </si>
  <si>
    <t>5. Расходы офиса, склада и общие</t>
  </si>
  <si>
    <t>Доставка товаров до точки</t>
  </si>
  <si>
    <t>Банковский расходы</t>
  </si>
  <si>
    <t>Стоимость услуг агрегаторов для привлечения гостей</t>
  </si>
  <si>
    <t>Расходы на доставку курьерами Агрегаторов</t>
  </si>
  <si>
    <t>Прибыль РСТ до налогов (EBITDA)</t>
  </si>
  <si>
    <t>Расходы на налоги (УСН - 6%)</t>
  </si>
  <si>
    <t>Прибыль после налогов</t>
  </si>
  <si>
    <t>Рентабельность</t>
  </si>
  <si>
    <t>&lt;--- объем инвестиций</t>
  </si>
  <si>
    <t>месяцев</t>
  </si>
  <si>
    <t>срок окупаемости ресторана</t>
  </si>
  <si>
    <t>Денежный поток инвестора</t>
  </si>
  <si>
    <t>Финансовый результат за месяц</t>
  </si>
  <si>
    <t>Точка быстрого питания питания ЯП + ПА</t>
  </si>
  <si>
    <t>PL среднего месяца</t>
  </si>
  <si>
    <t>месяц</t>
  </si>
  <si>
    <t>Доля к выручке net</t>
  </si>
  <si>
    <t>Выручка gross</t>
  </si>
  <si>
    <t>Каналы продаж</t>
  </si>
  <si>
    <t>Сайт и МП</t>
  </si>
  <si>
    <t>Агрегаторы</t>
  </si>
  <si>
    <t>Скидки</t>
  </si>
  <si>
    <t>Скидки агрегаторы (ЯЕ, ДК, Купер)</t>
  </si>
  <si>
    <t>Скидки (майбаксы)</t>
  </si>
  <si>
    <t>Выручка net</t>
  </si>
  <si>
    <t>Себестоимость</t>
  </si>
  <si>
    <t>Food Cost с/с продуктов</t>
  </si>
  <si>
    <t>Упаковка и бесплатный набор - БН (соевый соус, имбирь, палочки и тд)</t>
  </si>
  <si>
    <t>Потери, брак, порча</t>
  </si>
  <si>
    <t>Отчисления в адрес Правообладателя/Стратегическим партнерам</t>
  </si>
  <si>
    <t>Роялти (Рейтинг РСТ можно снизить до 4%, в случае выполнения качественных показателей)</t>
  </si>
  <si>
    <t>Дополнительные затраты: Ведение Е-Коммерс продвижения</t>
  </si>
  <si>
    <t>Дополнительные затраты: Колл-центр (обработка заказов), аудит классический + аудит вкуса, ОВН, проверка кандидатов, обработка рекламаций</t>
  </si>
  <si>
    <t>Валовая прибыль</t>
  </si>
  <si>
    <t>Коммерческие расходы связанные с продажей</t>
  </si>
  <si>
    <t>ФОТ ЛП (кухня)</t>
  </si>
  <si>
    <t>Налоги  на ФОТ (НДФЛ, страховые взносы)</t>
  </si>
  <si>
    <t>Транспортные расходы (развоз персонала)</t>
  </si>
  <si>
    <t>Расходы на маркетинг</t>
  </si>
  <si>
    <t>Административные расходы</t>
  </si>
  <si>
    <t>Аренда недвижимости</t>
  </si>
  <si>
    <t>Коммунальные расходы</t>
  </si>
  <si>
    <t>ФОТ администрация</t>
  </si>
  <si>
    <t>Доставка товара</t>
  </si>
  <si>
    <t>Расходы на ИТ и связь</t>
  </si>
  <si>
    <t>Расходные материалы (хозяйственные и канцтовары)</t>
  </si>
  <si>
    <t>Расходы на персонал вкл. поиск и найм, униформу</t>
  </si>
  <si>
    <t>Расходы на доставку (аренда электро-велло самокатов)</t>
  </si>
  <si>
    <t>ТО и ремонт</t>
  </si>
  <si>
    <t>Банковские расходы (экваринг, онлайн оплаты)</t>
  </si>
  <si>
    <t>Операционная прибыль</t>
  </si>
  <si>
    <t>Налог на прибыль (УСН)</t>
  </si>
  <si>
    <t>Чистая прибыль</t>
  </si>
  <si>
    <t>СМЕТА НА  ОТКРЫТИЕ MYBOX</t>
  </si>
  <si>
    <t>СТРУКТУРА ЗАТРАТ</t>
  </si>
  <si>
    <t>СУММА</t>
  </si>
  <si>
    <t>ДОЛЯ В ОБЩЕМ ОБЪЕМЕ</t>
  </si>
  <si>
    <t>ЮРИДИЧЕСКОЕ ОФОРМЛЕНИЕ</t>
  </si>
  <si>
    <t>ПОДГОТОВКА ПОМЕЩЕНИЯ И СМР</t>
  </si>
  <si>
    <t>ЗАКУПКА И УСТАНОВКА ОБОРУДОВАНИЯ</t>
  </si>
  <si>
    <t>ЗАКУПКА ПРОГРАММНОГО ОБЕСПЕЧЕНИЯ И СИСТЕМ УЧЕТА</t>
  </si>
  <si>
    <t>ОБУЧЕНИЕ</t>
  </si>
  <si>
    <t>ПЕРСОНАЛ</t>
  </si>
  <si>
    <t>МАРКЕТИНГ</t>
  </si>
  <si>
    <t>ОТКРЫТИЕ РЕСТОРАНА</t>
  </si>
  <si>
    <t>ДОПОЛНИТЕЛЬНЫЕ РАСХОДЫ</t>
  </si>
  <si>
    <t>ИТОГО ОТКРЫТИЕ РЕСТОРАНА</t>
  </si>
  <si>
    <t>Наименование затрат</t>
  </si>
  <si>
    <t>Ед. изм.</t>
  </si>
  <si>
    <t>Количество</t>
  </si>
  <si>
    <t>Цена за единицу</t>
  </si>
  <si>
    <t>Сумма</t>
  </si>
  <si>
    <t>руб.</t>
  </si>
  <si>
    <t>1. РЕГИСТРАЦИЯ ЮР. ЛИЦА</t>
  </si>
  <si>
    <t xml:space="preserve">Выбор формы и оформление юр. лица </t>
  </si>
  <si>
    <t>шт</t>
  </si>
  <si>
    <t>Открытие расчетного счета и регистрация в ПФ,ФОМС,ФСС</t>
  </si>
  <si>
    <t>Изготовление печати</t>
  </si>
  <si>
    <t>2. ПАУШАЛЬНЫЙ ВЗНОС</t>
  </si>
  <si>
    <t>Оплата паушального взноса</t>
  </si>
  <si>
    <t>ИТОГО</t>
  </si>
  <si>
    <t>1. АРЕНДА</t>
  </si>
  <si>
    <t>Аренда (1-ый месяц)</t>
  </si>
  <si>
    <t>кв. м</t>
  </si>
  <si>
    <t>Обеспечительный взнос (если есть по договору)</t>
  </si>
  <si>
    <t>2. ПРОЕКТНАЯ ДОКУМЕНТАЦИЯ</t>
  </si>
  <si>
    <t>Разработка дизайн-проекта</t>
  </si>
  <si>
    <t>Разработка технической документации</t>
  </si>
  <si>
    <t>Разработка макета и сметы  вывески и уголок покупателя</t>
  </si>
  <si>
    <t>3. ОФОРМЛЕНИЕ ДОКУМЕНТОВ</t>
  </si>
  <si>
    <t>Разрешение МЧС</t>
  </si>
  <si>
    <t>Договор на вывоз мусора (при необходимости)</t>
  </si>
  <si>
    <t>Договор с водоканалом  (при необходимости)</t>
  </si>
  <si>
    <t>Договор на электричество  (при необходимости)</t>
  </si>
  <si>
    <t>Договор с охранной компанией (при необходимости)</t>
  </si>
  <si>
    <t>Договор с интернет провайдером  (при необходимости)</t>
  </si>
  <si>
    <t xml:space="preserve">Разрешение на рекламную вывеску </t>
  </si>
  <si>
    <t>Закупка журналов и документов для инструктажа и  уголка покупателя</t>
  </si>
  <si>
    <t>4. РЕМОНТ</t>
  </si>
  <si>
    <t>Демонтажные работы</t>
  </si>
  <si>
    <t>Черновые отделочные работы</t>
  </si>
  <si>
    <t>Чистовые отделочные работы</t>
  </si>
  <si>
    <t>Электромонтажные работы (руб/кв.м)</t>
  </si>
  <si>
    <t>Сантехнические работы (руб/кв.м)</t>
  </si>
  <si>
    <t>Приточно-вытяжная система + кондиционирование</t>
  </si>
  <si>
    <t>Другое</t>
  </si>
  <si>
    <t>1. ОСНОВНОЕ ОБОРУДОВАНИЕ</t>
  </si>
  <si>
    <t>Технологическое оборудование:
- Полный список технологического оборудования для приготовления позиций из меню
- ПК
- ТВ
- МФУ
- Сетевой шкаф
- Термопринтер
- Принтер этикеток 
- Касса 
- Считыватель штрих-кода</t>
  </si>
  <si>
    <t>2. ИНВЕНТАРЬ</t>
  </si>
  <si>
    <t xml:space="preserve">Инвентарь (гастроемкости, хранение и тп.)
</t>
  </si>
  <si>
    <t>3. ТОРГОВО-КАССОВОЕ ОБОРУДОВАНИЕ (ТКО)</t>
  </si>
  <si>
    <t>Экодар</t>
  </si>
  <si>
    <t>Интернет</t>
  </si>
  <si>
    <t>Банковский терминал</t>
  </si>
  <si>
    <t>4. ДРУГОЕ ОБОРУДОВАНИЕ (ДО)</t>
  </si>
  <si>
    <t>Видеонаблюдение</t>
  </si>
  <si>
    <t>Видеорегистратор+свитч</t>
  </si>
  <si>
    <t>Бух программа 1С  (при необходимости)</t>
  </si>
  <si>
    <t>СБиС (документооборот с налоговой, ПФР, ФСС и прочее)</t>
  </si>
  <si>
    <t>Меркурий (сертификаты продукции животного происхождения)</t>
  </si>
  <si>
    <t>Диадок (электронный документооборот)</t>
  </si>
  <si>
    <t>Выезд партнера на обучение на территорию УК (перелет+прожив.)</t>
  </si>
  <si>
    <t>Выезд стартап-команды (Упр+ЛП ЯП+ ЛП ПА на неделю) - по согласованию сторон</t>
  </si>
  <si>
    <t xml:space="preserve">1. ПОДБОР </t>
  </si>
  <si>
    <t>Размещение вакансий</t>
  </si>
  <si>
    <t>Привлечение агентства (при необходимости)</t>
  </si>
  <si>
    <t xml:space="preserve">2. Затраты на обучение персонала </t>
  </si>
  <si>
    <t>Обучение персонала (ФОТ+командировочные) на территорию РСТ MYBOX</t>
  </si>
  <si>
    <t>ЛП (доставка) (набор и ФОТ до запуска)</t>
  </si>
  <si>
    <t xml:space="preserve">МАРКЕТИНГ </t>
  </si>
  <si>
    <t>1. НАРУЖНАЯ РЕКЛАМА</t>
  </si>
  <si>
    <t>Изготовление и монтаж  вывески</t>
  </si>
  <si>
    <t>Изготовление и монтаж режима работы</t>
  </si>
  <si>
    <t>2. ПОЛИГРАФИЯ</t>
  </si>
  <si>
    <t>Печать Меню</t>
  </si>
  <si>
    <t>Печать плакатов и других POS-материалов</t>
  </si>
  <si>
    <t>3. МАЛЫЕ АРХИТЕКТУРНЫЕ ФОРМЫ</t>
  </si>
  <si>
    <t>Изготовление настенной панели</t>
  </si>
  <si>
    <t>4. E-COM ПРОДВИЖЕНИЕ</t>
  </si>
  <si>
    <t>Подключение на сайт</t>
  </si>
  <si>
    <t>SMM-поддержка социальных сетей</t>
  </si>
  <si>
    <t>CPC на агрегаторах</t>
  </si>
  <si>
    <t>5. МАРКЕТИНГОВЫЙ БЮДЖЕТ НА ПЕРВЫЕ 3 МЕСЯЦА</t>
  </si>
  <si>
    <t>Настройка таргетинга, CPA, листовки, лифты, продуктовые акции, B2B партнерства</t>
  </si>
  <si>
    <t>1. ТЕХНИЧЕСКОЕ</t>
  </si>
  <si>
    <t>Закупка товара для технического открытия (сырье, упаковка и тд)</t>
  </si>
  <si>
    <t>2. ЗАКУПКА ФОРМЫ</t>
  </si>
  <si>
    <t>Брендированная одежда сотрудников</t>
  </si>
  <si>
    <t>Сумки (Доставка)</t>
  </si>
  <si>
    <t>Непредвиденные расходы</t>
  </si>
  <si>
    <t>ТЗ на поиск локации для открытия MYBOX: СТРИТ с самовывозом</t>
  </si>
  <si>
    <t xml:space="preserve">1й этаж жилого дома, нежилое здание </t>
  </si>
  <si>
    <t xml:space="preserve">СТРИТ с самовывозом - открытый ресторан с фасадом на улицу. Планировка должна позволять разместить зоны приготовления, установку санузлов и при необходимости, дополнительных помещений, таких как кладовые или офисы. Отвечающим соблюдением условий санитарных норм и правил (СанПиН). Необходимые коммуникации: водоснабжение, канализация, электроснабжение. Удобным доступом для поставок и вывоза отходов, наличием парковки.  А также соблюдение требований противодействия пожарам (ППБ). Возможность подключения к интернет провайдерам без больших вложений. Идеальное расположение стрита без посадки будет на 1 этаже, но зачастую данные локации всегда арендованны и с высокими арендными ставками. И поэтому есть варианты рассмотреть альтернативные локации, которые могут располагаться в нужном месте, но на другом уровне. </t>
  </si>
  <si>
    <t>Парковка 3-5 машиномест</t>
  </si>
  <si>
    <t xml:space="preserve">Парковка для курьеров должна быть расположена близко к выходу из заведения, чтобы минимизировать время, необходимое для забирания заказов. Чем меньше расстояние, тем лучше для клиентов. Убедитесь, что зона доступа к парковке не будет затруднена другими маршрутами, что позволит курьерам быстрее покинуть территорию. Хорошее освещение на парковке повысит безопасность — как для курьеров, так и для гостей (самовывоз), особенно в темное время суток. </t>
  </si>
  <si>
    <t>Желательно наличие 2-х входов (зоны "самовывоза", разгрузочно-курьерский)</t>
  </si>
  <si>
    <t>Самовывоз должен обеспечиваться быстрым и удобным доступом для гостей, желающих забрать свои заказы. Такой вход размещается в удобном месте, чтобы не создавать заторов и не мешать потоку людей, особенно в часы пик. Стиль оформления интерьера должен соответствовать концепции заведения.
Зона разгрузки - этот вход предназначен для обеспечения доступа курьеров и поставщиков. Он должен быть достаточно широким. 
Обе зоны должны быть легко доступными, что поможет улучшить клиентский опыт и оптимизировать операционные процессы.</t>
  </si>
  <si>
    <t>Помещение единой площадью от 35 м2</t>
  </si>
  <si>
    <t>Данная площадь позволяет эффективно разместить необходимые рабочие зоны, складские помещения и зону для выдачи заказов.</t>
  </si>
  <si>
    <t>Высота потолков от 2.80 м</t>
  </si>
  <si>
    <t>Потолок высотой 2,80 м создает достаточно комфортные условия для посетителей и персонала. Учитывайте размещение освещения. Используйте разные источники освещения для разных зон. Высота потолков может повлиять на распределение воздуха и эффективность систем кондиционирования. Правильное размещение воздухораспределительных устройств и использование систем вентиляции помогут поддерживать комфортную атмосферу.</t>
  </si>
  <si>
    <t>Электрическая мощность 30 - 40 кВт</t>
  </si>
  <si>
    <t>Данная мощность выведена путем использования всего оборудования в помещении, включая:
- Кухонные плиты и печи
- Холодильники и морозильники
- Вытяжные системы
- Оборудование для автоматизации процессов (кассовые аппараты, системы учета и пр.)</t>
  </si>
  <si>
    <t>ХВС, ГВС, канализация, отопление</t>
  </si>
  <si>
    <t>Учитывайте необходимый объем потребления воды для различных нужд (питье, мытье посуды, уборка и т. д.). Обязательно учитывайте пиковые нагрузки, особенно в часы максимального пика. Подумайте о системах автоматизации, которые могут контролировать расход воды и температуру, а также предотвратить протечки. Система канализации должна обеспечивать простой и эффективный отвод сточных вод. Убедитесь, что система отопления согласована с системой приточно-вытяжной вентиляции для предотвращения перегрева или недостатка свежего воздуха.</t>
  </si>
  <si>
    <t>Возможность установки приточно-вытяжной вентиляции</t>
  </si>
  <si>
    <t>Установка приточно-вытяжной вентиляции в нежилом здании, предназначенном для общественного питания, является важным элементом для обеспечения комфортнойной атмосферы и поддержания санитарных норм. Эта система обеспечивает одновременно подачу свежего воздуха (приток) и удаление загрязненного (вытяжка), что является неотъемлемой частью для помещений с высокой нагрузкой в плане воздуха.</t>
  </si>
  <si>
    <t>Доступ к помещению 24/7</t>
  </si>
  <si>
    <t>Постоянный доступ предоставляет множество преимуществ:
- возможность доставки продуктов и материалов в удобное время
- доступность заведения круглосуточно для гостей 
- существенно повысить конкурентоспособность и расширить клиентскую базу</t>
  </si>
  <si>
    <t>Долгосрочный договор от 3 лет</t>
  </si>
  <si>
    <t xml:space="preserve">Долгосрочный договор обеспечивает стабильность на рынке. Арендатор знает, что у него есть гарантированное помещение для бизнеса на длительный срок, что позволяет лучше планировать его развитие. </t>
  </si>
  <si>
    <t>Арендные каникулы 30-60 дней</t>
  </si>
  <si>
    <t xml:space="preserve">Данные требования спланированны и необходимы с учетом следующих процессов:
- СМР
- заказ и поставка оборудования 
- подбор и обучения персонала </t>
  </si>
  <si>
    <t>Согласованное место под установку контейнеров ТБО</t>
  </si>
  <si>
    <t xml:space="preserve">Установка контейнеров для ТБО — это важный элемент инфраструктуры, который способствует эффективному управлению отходами, улучшает санитарные условия. </t>
  </si>
  <si>
    <t>Арендная ставка от 2000 до 3000 руб/м2</t>
  </si>
  <si>
    <t>Требование к входной группе в зону "самовывоз"</t>
  </si>
  <si>
    <t>При организации входной группы для СТРИТа с самовывозом предназначенной для зоны самовывоза, необходимо учитывать несколько ключевых требований:</t>
  </si>
  <si>
    <t>Входная группа</t>
  </si>
  <si>
    <t>Двери должны быть достаточно широкими для удобного прохождения гостей, сотрудников, курьеров с сумками (если это требуется)</t>
  </si>
  <si>
    <t>Обеспечение доступности для маломобильных групп граждан (если это требуется)</t>
  </si>
  <si>
    <t>Пол должен быть не скользким и легко очищаемым, чтобы минимизировать риск падений и облегчить уборку</t>
  </si>
  <si>
    <t>Установить систему видеонаблюдения для мониторинга происходящего</t>
  </si>
  <si>
    <t>Обеспечить хорошее освещение для ясного восприятия окружающей среды</t>
  </si>
  <si>
    <t>Четкая навигация для клиентов, включая указатели и знаки, которые помогают находить зону самовывоза</t>
  </si>
  <si>
    <t>Важно: визуальное решение зоны Take Away должно быть согласовано с Правообладателем</t>
  </si>
  <si>
    <t xml:space="preserve">Коридор </t>
  </si>
  <si>
    <t>Минимальная ширина коридора должна быть не менее 1,5 метра (в идеале 2 метра) для комфортного передвижения гостей и предотвращения заторов при встречном потоке</t>
  </si>
  <si>
    <t>Избегать длинных коридоров</t>
  </si>
  <si>
    <t>Рекомендуется ограничить длину коридоров (до 10 метров), чтобы избежать утомляемости гостей и улучшить доступность</t>
  </si>
  <si>
    <t>Спроектировать коридоры преимущественно в прямолинейной форме для улучшения перемещения</t>
  </si>
  <si>
    <t>Коридор должен легко подвергаться регулярной уборке, минимизируя накопление грязи и остатков пищи</t>
  </si>
  <si>
    <t>Создать отдельные зоны для разных операций (загрузка, хранение, подготовка к отправке) рядом, чтобы минимизировать перемещение на большие расстояния</t>
  </si>
  <si>
    <t>Обеспечение мест для временного хранения продуктов и упаковки, чтобы избежать загромождения пространства (если это требуется)</t>
  </si>
  <si>
    <t>Хорошая звукоизоляция может помочь в снижении уровня шума, особенно если кухня работает в поздние часы</t>
  </si>
  <si>
    <t>Обеспечение качественной вентиляции для избежания накопления запахов и обеспечения комфорта</t>
  </si>
  <si>
    <t>Убедиться, что коридор соответствует нормам пожарной безопасности, включая наличие огнетушителей и четкие выходы на случай чрезвычайных ситуаций</t>
  </si>
  <si>
    <t>Если возможно, использовать различные уровни или этажи для разграничения функций, что позволит избежать слишком длинных и сложных коридоров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</si>
</sst>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р.-419]#,##0"/>
    <numFmt numFmtId="165" formatCode="[$р.-419]#,##0.00"/>
    <numFmt numFmtId="166" formatCode="0.0%"/>
    <numFmt numFmtId="167" formatCode="#,##0.00\ &quot;₽&quot;"/>
    <numFmt numFmtId="168" formatCode="d.m"/>
  </numFmts>
  <fonts count="41">
    <font>
      <sz val="10.0"/>
      <color rgb="FF000000"/>
      <name val="Arial"/>
      <scheme val="minor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0070C0"/>
      <name val="Arial"/>
    </font>
    <font>
      <b/>
      <sz val="11.0"/>
      <color rgb="FF000000"/>
      <name val="Calibri"/>
    </font>
    <font>
      <i/>
      <sz val="9.0"/>
      <color theme="1"/>
      <name val="Arial"/>
    </font>
    <font>
      <i/>
      <sz val="8.0"/>
      <color theme="1"/>
      <name val="Arial"/>
    </font>
    <font>
      <sz val="11.0"/>
      <color rgb="FF000000"/>
      <name val="Calibri"/>
    </font>
    <font>
      <b/>
      <u/>
      <sz val="11.0"/>
      <color rgb="FF548135"/>
      <name val="Calibri"/>
    </font>
    <font>
      <b/>
      <u/>
      <sz val="11.0"/>
      <color rgb="FF548135"/>
      <name val="Calibri"/>
    </font>
    <font>
      <sz val="9.0"/>
      <color rgb="FF0070C0"/>
      <name val="Arial"/>
    </font>
    <font>
      <sz val="8.0"/>
      <color theme="1"/>
      <name val="Arial"/>
    </font>
    <font>
      <color theme="1"/>
      <name val="Arial"/>
    </font>
    <font>
      <b/>
      <sz val="13.0"/>
      <color rgb="FF44546A"/>
      <name val="Calibri"/>
    </font>
    <font>
      <sz val="11.0"/>
      <color theme="1"/>
      <name val="Calibri"/>
    </font>
    <font>
      <b/>
      <sz val="11.0"/>
      <color rgb="FF44546A"/>
      <name val="Calibri"/>
    </font>
    <font>
      <b/>
      <u/>
      <sz val="11.0"/>
      <color rgb="FF548135"/>
      <name val="Calibri"/>
    </font>
    <font>
      <b/>
      <sz val="11.0"/>
      <color theme="1"/>
      <name val="Calibri"/>
    </font>
    <font>
      <u/>
      <sz val="11.0"/>
      <color rgb="FF4472C4"/>
      <name val="Calibri"/>
    </font>
    <font>
      <i/>
      <sz val="11.0"/>
      <color theme="1"/>
      <name val="Calibri"/>
    </font>
    <font>
      <color theme="1"/>
      <name val="Arial"/>
      <scheme val="minor"/>
    </font>
    <font>
      <u/>
      <sz val="11.0"/>
      <color rgb="FF4472C4"/>
      <name val="Calibri"/>
    </font>
    <font>
      <b/>
      <u/>
      <sz val="11.0"/>
      <color rgb="FF4472C4"/>
      <name val="Calibri"/>
    </font>
    <font>
      <b/>
      <u/>
      <sz val="11.0"/>
      <color rgb="FF4472C4"/>
      <name val="Calibri"/>
    </font>
    <font>
      <b/>
      <u/>
      <sz val="11.0"/>
      <color rgb="FF548135"/>
      <name val="Calibri"/>
    </font>
    <font>
      <b/>
      <sz val="17.0"/>
      <color rgb="FF000000"/>
      <name val="Calibri"/>
    </font>
    <font/>
    <font>
      <color theme="1"/>
      <name val="Calibri"/>
    </font>
    <font>
      <b/>
      <color rgb="FFFFFFFF"/>
      <name val="Calibri"/>
    </font>
    <font>
      <b/>
      <color theme="1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b/>
      <sz val="13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sz val="9.0"/>
      <color rgb="FF1F1F1F"/>
      <name val="Arial"/>
    </font>
    <font>
      <b/>
      <sz val="13.0"/>
      <color theme="1"/>
      <name val="Arial"/>
    </font>
    <font>
      <b/>
      <color theme="1"/>
      <name val="Helvetica Neue"/>
    </font>
    <font>
      <b/>
      <sz val="12.0"/>
      <color theme="1"/>
      <name val="Helvetica Neue"/>
    </font>
    <font>
      <color theme="1"/>
      <name val="Helvetica Neue"/>
    </font>
    <font>
      <b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F7E14"/>
        <bgColor rgb="FFFF7E14"/>
      </patternFill>
    </fill>
    <fill>
      <patternFill patternType="solid">
        <fgColor rgb="FFFCE5CD"/>
        <bgColor rgb="FFFCE5CD"/>
      </patternFill>
    </fill>
    <fill>
      <patternFill patternType="solid">
        <fgColor rgb="FFFFFAF3"/>
        <bgColor rgb="FFFFFAF3"/>
      </patternFill>
    </fill>
  </fills>
  <borders count="54">
    <border/>
    <border>
      <left style="thin">
        <color rgb="FFB3AC86"/>
      </left>
      <right style="thin">
        <color rgb="FFB3AC86"/>
      </right>
      <top style="thin">
        <color rgb="FFB3AC86"/>
      </top>
    </border>
    <border>
      <right style="thin">
        <color rgb="FFB3AC86"/>
      </right>
      <top style="thin">
        <color rgb="FFB3AC86"/>
      </top>
      <bottom style="thin">
        <color rgb="FFB3AC86"/>
      </bottom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</border>
    <border>
      <right style="thin">
        <color rgb="FFACC8BD"/>
      </right>
      <top style="thin">
        <color rgb="FFACC8BD"/>
      </top>
      <bottom style="thin">
        <color rgb="FFACC8BD"/>
      </bottom>
    </border>
    <border>
      <left style="thin">
        <color rgb="FFACC8BD"/>
      </left>
      <right style="thin">
        <color rgb="FFACC8BD"/>
      </right>
      <bottom style="thin">
        <color rgb="FFACC8BD"/>
      </bottom>
    </border>
    <border>
      <right style="thin">
        <color rgb="FFACC8BD"/>
      </right>
      <bottom style="thin">
        <color rgb="FFACC8B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dotted">
        <color rgb="FF3C78D8"/>
      </bottom>
    </border>
    <border>
      <left style="thin">
        <color rgb="FF000000"/>
      </left>
      <right style="thin">
        <color rgb="FF000000"/>
      </right>
      <bottom style="dotted">
        <color rgb="FF3C78D8"/>
      </bottom>
    </border>
    <border>
      <right style="medium">
        <color rgb="FF000000"/>
      </right>
      <bottom style="dotted">
        <color rgb="FF3C78D8"/>
      </bottom>
    </border>
    <border>
      <left style="thin">
        <color rgb="FF000000"/>
      </left>
      <right style="medium">
        <color rgb="FF000000"/>
      </right>
      <bottom style="dotted">
        <color rgb="FF3C78D8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4" fillId="2" fontId="2" numFmtId="164" xfId="0" applyAlignment="1" applyBorder="1" applyFont="1" applyNumberFormat="1">
      <alignment horizontal="center"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3" numFmtId="164" xfId="0" applyAlignment="1" applyBorder="1" applyFont="1" applyNumberFormat="1">
      <alignment horizontal="center" shrinkToFit="0" vertical="center" wrapText="1"/>
    </xf>
    <xf borderId="6" fillId="3" fontId="3" numFmtId="164" xfId="0" applyAlignment="1" applyBorder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164" xfId="0" applyAlignment="1" applyBorder="1" applyFont="1" applyNumberFormat="1">
      <alignment horizontal="center" shrinkToFit="0" vertical="center" wrapText="1"/>
    </xf>
    <xf borderId="5" fillId="0" fontId="5" numFmtId="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6" fillId="0" fontId="1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5" fillId="4" fontId="5" numFmtId="9" xfId="0" applyAlignment="1" applyBorder="1" applyFill="1" applyFont="1" applyNumberFormat="1">
      <alignment horizontal="center" readingOrder="0" shrinkToFit="0" vertical="center" wrapText="1"/>
    </xf>
    <xf borderId="3" fillId="3" fontId="5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6" fillId="3" fontId="1" numFmtId="9" xfId="0" applyAlignment="1" applyBorder="1" applyFont="1" applyNumberForma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6" fillId="2" fontId="2" numFmtId="165" xfId="0" applyAlignment="1" applyBorder="1" applyFont="1" applyNumberForma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10" xfId="0" applyAlignment="1" applyBorder="1" applyFont="1" applyNumberFormat="1">
      <alignment horizontal="center" readingOrder="0" shrinkToFit="0" vertical="center" wrapText="1"/>
    </xf>
    <xf borderId="6" fillId="0" fontId="1" numFmtId="10" xfId="0" applyAlignment="1" applyBorder="1" applyFont="1" applyNumberFormat="1">
      <alignment horizontal="center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6" fillId="2" fontId="2" numFmtId="164" xfId="0" applyAlignment="1" applyBorder="1" applyFont="1" applyNumberForma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6" fillId="3" fontId="1" numFmtId="164" xfId="0" applyAlignment="1" applyBorder="1" applyFont="1" applyNumberFormat="1">
      <alignment horizontal="center" shrinkToFit="0" vertical="center" wrapText="1"/>
    </xf>
    <xf borderId="6" fillId="2" fontId="2" numFmtId="166" xfId="0" applyAlignment="1" applyBorder="1" applyFont="1" applyNumberFormat="1">
      <alignment horizontal="center" shrinkToFit="0" vertical="center" wrapText="1"/>
    </xf>
    <xf borderId="6" fillId="4" fontId="1" numFmtId="166" xfId="0" applyAlignment="1" applyBorder="1" applyFont="1" applyNumberFormat="1">
      <alignment horizontal="center" readingOrder="0" shrinkToFit="0" vertical="center" wrapText="1"/>
    </xf>
    <xf borderId="6" fillId="4" fontId="1" numFmtId="164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0" fillId="0" fontId="1" numFmtId="10" xfId="0" applyAlignment="1" applyFont="1" applyNumberFormat="1">
      <alignment horizontal="center" shrinkToFit="0" vertical="center" wrapText="1"/>
    </xf>
    <xf borderId="4" fillId="0" fontId="1" numFmtId="10" xfId="0" applyAlignment="1" applyBorder="1" applyFont="1" applyNumberFormat="1">
      <alignment horizontal="center" readingOrder="0" shrinkToFit="0" vertical="center" wrapText="1"/>
    </xf>
    <xf borderId="6" fillId="0" fontId="1" numFmtId="9" xfId="0" applyAlignment="1" applyBorder="1" applyFont="1" applyNumberFormat="1">
      <alignment horizontal="center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6" fillId="2" fontId="2" numFmtId="10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0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2" fontId="8" numFmtId="3" xfId="0" applyAlignment="1" applyFont="1" applyNumberForma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7" fillId="0" fontId="13" numFmtId="0" xfId="0" applyAlignment="1" applyBorder="1" applyFont="1">
      <alignment vertical="center"/>
    </xf>
    <xf borderId="7" fillId="0" fontId="12" numFmtId="0" xfId="0" applyAlignment="1" applyBorder="1" applyFont="1">
      <alignment horizontal="center" readingOrder="0" shrinkToFit="0" vertical="center" wrapText="1"/>
    </xf>
    <xf borderId="7" fillId="0" fontId="14" numFmtId="10" xfId="0" applyAlignment="1" applyBorder="1" applyFont="1" applyNumberFormat="1">
      <alignment horizontal="center" vertical="bottom"/>
    </xf>
    <xf borderId="0" fillId="0" fontId="12" numFmtId="0" xfId="0" applyAlignment="1" applyFont="1">
      <alignment vertical="center"/>
    </xf>
    <xf borderId="8" fillId="0" fontId="15" numFmtId="0" xfId="0" applyAlignment="1" applyBorder="1" applyFont="1">
      <alignment vertical="bottom"/>
    </xf>
    <xf borderId="9" fillId="0" fontId="15" numFmtId="0" xfId="0" applyAlignment="1" applyBorder="1" applyFont="1">
      <alignment horizontal="center" vertical="bottom"/>
    </xf>
    <xf borderId="10" fillId="0" fontId="15" numFmtId="10" xfId="0" applyAlignment="1" applyBorder="1" applyFont="1" applyNumberFormat="1">
      <alignment horizontal="center" shrinkToFit="0" vertical="bottom" wrapText="1"/>
    </xf>
    <xf borderId="11" fillId="2" fontId="16" numFmtId="0" xfId="0" applyAlignment="1" applyBorder="1" applyFont="1">
      <alignment vertical="bottom"/>
    </xf>
    <xf borderId="7" fillId="2" fontId="17" numFmtId="3" xfId="0" applyAlignment="1" applyBorder="1" applyFont="1" applyNumberFormat="1">
      <alignment horizontal="center" readingOrder="0" vertical="bottom"/>
    </xf>
    <xf borderId="12" fillId="2" fontId="12" numFmtId="10" xfId="0" applyAlignment="1" applyBorder="1" applyFont="1" applyNumberFormat="1">
      <alignment vertical="bottom"/>
    </xf>
    <xf borderId="13" fillId="5" fontId="18" numFmtId="0" xfId="0" applyAlignment="1" applyBorder="1" applyFill="1" applyFont="1">
      <alignment vertical="bottom"/>
    </xf>
    <xf borderId="14" fillId="5" fontId="17" numFmtId="3" xfId="0" applyAlignment="1" applyBorder="1" applyFont="1" applyNumberFormat="1">
      <alignment horizontal="center" vertical="bottom"/>
    </xf>
    <xf borderId="15" fillId="5" fontId="17" numFmtId="10" xfId="0" applyAlignment="1" applyBorder="1" applyFont="1" applyNumberFormat="1">
      <alignment horizontal="center" vertical="bottom"/>
    </xf>
    <xf borderId="13" fillId="0" fontId="19" numFmtId="0" xfId="0" applyAlignment="1" applyBorder="1" applyFont="1">
      <alignment readingOrder="0" vertical="bottom"/>
    </xf>
    <xf borderId="0" fillId="0" fontId="12" numFmtId="164" xfId="0" applyAlignment="1" applyFont="1" applyNumberFormat="1">
      <alignment horizontal="center"/>
    </xf>
    <xf borderId="16" fillId="0" fontId="14" numFmtId="9" xfId="0" applyAlignment="1" applyBorder="1" applyFont="1" applyNumberFormat="1">
      <alignment horizontal="center" readingOrder="0" vertical="bottom"/>
    </xf>
    <xf borderId="13" fillId="0" fontId="19" numFmtId="0" xfId="0" applyAlignment="1" applyBorder="1" applyFont="1">
      <alignment vertical="bottom"/>
    </xf>
    <xf borderId="14" fillId="5" fontId="17" numFmtId="164" xfId="0" applyAlignment="1" applyBorder="1" applyFont="1" applyNumberFormat="1">
      <alignment horizontal="center" vertical="bottom"/>
    </xf>
    <xf borderId="14" fillId="0" fontId="14" numFmtId="164" xfId="0" applyAlignment="1" applyBorder="1" applyFont="1" applyNumberFormat="1">
      <alignment horizontal="center" vertical="bottom"/>
    </xf>
    <xf borderId="15" fillId="4" fontId="14" numFmtId="10" xfId="0" applyAlignment="1" applyBorder="1" applyFont="1" applyNumberFormat="1">
      <alignment horizontal="center" readingOrder="0" vertical="bottom"/>
    </xf>
    <xf borderId="17" fillId="0" fontId="19" numFmtId="0" xfId="0" applyAlignment="1" applyBorder="1" applyFont="1">
      <alignment vertical="bottom"/>
    </xf>
    <xf borderId="18" fillId="0" fontId="14" numFmtId="164" xfId="0" applyAlignment="1" applyBorder="1" applyFont="1" applyNumberFormat="1">
      <alignment horizontal="center" vertical="bottom"/>
    </xf>
    <xf borderId="19" fillId="4" fontId="14" numFmtId="10" xfId="0" applyAlignment="1" applyBorder="1" applyFont="1" applyNumberFormat="1">
      <alignment horizontal="center" readingOrder="0" vertical="bottom"/>
    </xf>
    <xf borderId="7" fillId="2" fontId="17" numFmtId="164" xfId="0" applyAlignment="1" applyBorder="1" applyFont="1" applyNumberFormat="1">
      <alignment horizontal="center" vertical="bottom"/>
    </xf>
    <xf borderId="12" fillId="2" fontId="17" numFmtId="10" xfId="0" applyAlignment="1" applyBorder="1" applyFont="1" applyNumberFormat="1">
      <alignment horizontal="center" vertical="bottom"/>
    </xf>
    <xf borderId="0" fillId="0" fontId="20" numFmtId="10" xfId="0" applyAlignment="1" applyFont="1" applyNumberFormat="1">
      <alignment readingOrder="0"/>
    </xf>
    <xf borderId="13" fillId="5" fontId="21" numFmtId="0" xfId="0" applyAlignment="1" applyBorder="1" applyFont="1">
      <alignment readingOrder="0" vertical="bottom"/>
    </xf>
    <xf borderId="13" fillId="0" fontId="19" numFmtId="0" xfId="0" applyAlignment="1" applyBorder="1" applyFont="1">
      <alignment horizontal="left" readingOrder="0" shrinkToFit="0" vertical="bottom" wrapText="1"/>
    </xf>
    <xf borderId="15" fillId="0" fontId="14" numFmtId="10" xfId="0" applyAlignment="1" applyBorder="1" applyFont="1" applyNumberFormat="1">
      <alignment horizontal="center" vertical="bottom"/>
    </xf>
    <xf borderId="13" fillId="0" fontId="19" numFmtId="0" xfId="0" applyAlignment="1" applyBorder="1" applyFont="1">
      <alignment horizontal="left" readingOrder="0" vertical="bottom"/>
    </xf>
    <xf borderId="17" fillId="0" fontId="19" numFmtId="0" xfId="0" applyAlignment="1" applyBorder="1" applyFont="1">
      <alignment horizontal="left" readingOrder="0" shrinkToFit="0" vertical="bottom" wrapText="1"/>
    </xf>
    <xf borderId="13" fillId="5" fontId="22" numFmtId="0" xfId="0" applyAlignment="1" applyBorder="1" applyFont="1">
      <alignment vertical="bottom"/>
    </xf>
    <xf borderId="13" fillId="4" fontId="19" numFmtId="0" xfId="0" applyAlignment="1" applyBorder="1" applyFont="1">
      <alignment readingOrder="0" vertical="bottom"/>
    </xf>
    <xf borderId="14" fillId="4" fontId="14" numFmtId="164" xfId="0" applyAlignment="1" applyBorder="1" applyFont="1" applyNumberFormat="1">
      <alignment horizontal="center" vertical="bottom"/>
    </xf>
    <xf borderId="15" fillId="4" fontId="14" numFmtId="10" xfId="0" applyAlignment="1" applyBorder="1" applyFont="1" applyNumberFormat="1">
      <alignment horizontal="center" vertical="bottom"/>
    </xf>
    <xf borderId="0" fillId="0" fontId="14" numFmtId="164" xfId="0" applyAlignment="1" applyFont="1" applyNumberFormat="1">
      <alignment horizontal="center" vertical="bottom"/>
    </xf>
    <xf borderId="14" fillId="6" fontId="14" numFmtId="164" xfId="0" applyAlignment="1" applyBorder="1" applyFill="1" applyFont="1" applyNumberFormat="1">
      <alignment horizontal="center" readingOrder="0" vertical="bottom"/>
    </xf>
    <xf borderId="13" fillId="0" fontId="14" numFmtId="0" xfId="0" applyAlignment="1" applyBorder="1" applyFont="1">
      <alignment readingOrder="0" vertical="bottom"/>
    </xf>
    <xf borderId="17" fillId="4" fontId="19" numFmtId="0" xfId="0" applyAlignment="1" applyBorder="1" applyFont="1">
      <alignment readingOrder="0" vertical="bottom"/>
    </xf>
    <xf borderId="11" fillId="2" fontId="23" numFmtId="0" xfId="0" applyAlignment="1" applyBorder="1" applyFont="1">
      <alignment vertical="bottom"/>
    </xf>
    <xf borderId="20" fillId="2" fontId="24" numFmtId="0" xfId="0" applyAlignment="1" applyBorder="1" applyFont="1">
      <alignment vertical="bottom"/>
    </xf>
    <xf borderId="21" fillId="2" fontId="17" numFmtId="164" xfId="0" applyAlignment="1" applyBorder="1" applyFont="1" applyNumberFormat="1">
      <alignment horizontal="center" vertical="bottom"/>
    </xf>
    <xf borderId="22" fillId="2" fontId="17" numFmtId="10" xfId="0" applyAlignment="1" applyBorder="1" applyFont="1" applyNumberFormat="1">
      <alignment horizontal="center" vertical="bottom"/>
    </xf>
    <xf borderId="23" fillId="2" fontId="25" numFmtId="4" xfId="0" applyAlignment="1" applyBorder="1" applyFont="1" applyNumberFormat="1">
      <alignment horizontal="center" readingOrder="0" shrinkToFit="0" vertical="center" wrapText="1"/>
    </xf>
    <xf borderId="24" fillId="0" fontId="26" numFmtId="0" xfId="0" applyBorder="1" applyFont="1"/>
    <xf borderId="25" fillId="0" fontId="26" numFmtId="0" xfId="0" applyBorder="1" applyFont="1"/>
    <xf borderId="8" fillId="4" fontId="27" numFmtId="0" xfId="0" applyAlignment="1" applyBorder="1" applyFont="1">
      <alignment vertical="center"/>
    </xf>
    <xf borderId="0" fillId="4" fontId="27" numFmtId="0" xfId="0" applyAlignment="1" applyFont="1">
      <alignment vertical="center"/>
    </xf>
    <xf borderId="0" fillId="4" fontId="27" numFmtId="4" xfId="0" applyAlignment="1" applyFont="1" applyNumberFormat="1">
      <alignment vertical="center"/>
    </xf>
    <xf borderId="0" fillId="4" fontId="27" numFmtId="10" xfId="0" applyAlignment="1" applyFont="1" applyNumberFormat="1">
      <alignment vertical="center"/>
    </xf>
    <xf borderId="19" fillId="4" fontId="27" numFmtId="4" xfId="0" applyAlignment="1" applyBorder="1" applyFont="1" applyNumberFormat="1">
      <alignment vertical="center"/>
    </xf>
    <xf borderId="26" fillId="7" fontId="28" numFmtId="0" xfId="0" applyAlignment="1" applyBorder="1" applyFill="1" applyFont="1">
      <alignment horizontal="center" shrinkToFit="0" vertical="center" wrapText="1"/>
    </xf>
    <xf borderId="27" fillId="0" fontId="26" numFmtId="0" xfId="0" applyBorder="1" applyFont="1"/>
    <xf borderId="28" fillId="0" fontId="26" numFmtId="0" xfId="0" applyBorder="1" applyFont="1"/>
    <xf borderId="27" fillId="7" fontId="28" numFmtId="4" xfId="0" applyAlignment="1" applyBorder="1" applyFont="1" applyNumberFormat="1">
      <alignment horizontal="center" shrinkToFit="0" vertical="center" wrapText="1"/>
    </xf>
    <xf borderId="27" fillId="7" fontId="28" numFmtId="10" xfId="0" applyAlignment="1" applyBorder="1" applyFont="1" applyNumberFormat="1">
      <alignment horizontal="center" vertical="center"/>
    </xf>
    <xf borderId="29" fillId="0" fontId="26" numFmtId="0" xfId="0" applyBorder="1" applyFont="1"/>
    <xf borderId="30" fillId="4" fontId="29" numFmtId="0" xfId="0" applyAlignment="1" applyBorder="1" applyFont="1">
      <alignment horizontal="center" vertical="center"/>
    </xf>
    <xf borderId="9" fillId="8" fontId="29" numFmtId="0" xfId="0" applyAlignment="1" applyBorder="1" applyFill="1" applyFont="1">
      <alignment shrinkToFit="0" vertical="center" wrapText="1"/>
    </xf>
    <xf borderId="31" fillId="0" fontId="26" numFmtId="0" xfId="0" applyBorder="1" applyFont="1"/>
    <xf borderId="9" fillId="4" fontId="29" numFmtId="164" xfId="0" applyAlignment="1" applyBorder="1" applyFont="1" applyNumberFormat="1">
      <alignment horizontal="center" shrinkToFit="0" vertical="center" wrapText="1"/>
    </xf>
    <xf borderId="9" fillId="4" fontId="29" numFmtId="166" xfId="0" applyAlignment="1" applyBorder="1" applyFont="1" applyNumberFormat="1">
      <alignment horizontal="center" vertical="center"/>
    </xf>
    <xf borderId="10" fillId="0" fontId="26" numFmtId="0" xfId="0" applyBorder="1" applyFont="1"/>
    <xf borderId="32" fillId="4" fontId="29" numFmtId="0" xfId="0" applyAlignment="1" applyBorder="1" applyFont="1">
      <alignment horizontal="center" vertical="center"/>
    </xf>
    <xf borderId="33" fillId="8" fontId="29" numFmtId="0" xfId="0" applyAlignment="1" applyBorder="1" applyFont="1">
      <alignment shrinkToFit="0" vertical="center" wrapText="1"/>
    </xf>
    <xf borderId="34" fillId="0" fontId="26" numFmtId="0" xfId="0" applyBorder="1" applyFont="1"/>
    <xf borderId="33" fillId="4" fontId="29" numFmtId="164" xfId="0" applyAlignment="1" applyBorder="1" applyFont="1" applyNumberFormat="1">
      <alignment horizontal="center" shrinkToFit="0" vertical="center" wrapText="1"/>
    </xf>
    <xf borderId="33" fillId="4" fontId="29" numFmtId="166" xfId="0" applyAlignment="1" applyBorder="1" applyFont="1" applyNumberFormat="1">
      <alignment horizontal="center" vertical="center"/>
    </xf>
    <xf borderId="35" fillId="0" fontId="26" numFmtId="0" xfId="0" applyBorder="1" applyFont="1"/>
    <xf borderId="36" fillId="7" fontId="28" numFmtId="0" xfId="0" applyAlignment="1" applyBorder="1" applyFont="1">
      <alignment horizontal="center" shrinkToFit="0" vertical="center" wrapText="1"/>
    </xf>
    <xf borderId="9" fillId="0" fontId="26" numFmtId="0" xfId="0" applyBorder="1" applyFont="1"/>
    <xf borderId="10" fillId="7" fontId="28" numFmtId="164" xfId="0" applyAlignment="1" applyBorder="1" applyFont="1" applyNumberFormat="1">
      <alignment horizontal="center" vertical="center"/>
    </xf>
    <xf borderId="30" fillId="4" fontId="30" numFmtId="0" xfId="0" applyAlignment="1" applyBorder="1" applyFont="1">
      <alignment horizontal="center" vertical="center"/>
    </xf>
    <xf borderId="9" fillId="4" fontId="30" numFmtId="4" xfId="0" applyAlignment="1" applyBorder="1" applyFont="1" applyNumberFormat="1">
      <alignment vertical="center"/>
    </xf>
    <xf borderId="8" fillId="7" fontId="28" numFmtId="0" xfId="0" applyAlignment="1" applyBorder="1" applyFont="1">
      <alignment horizontal="center" shrinkToFit="0" vertical="center" wrapText="1"/>
    </xf>
    <xf borderId="37" fillId="0" fontId="26" numFmtId="0" xfId="0" applyBorder="1" applyFont="1"/>
    <xf borderId="37" fillId="7" fontId="28" numFmtId="0" xfId="0" applyAlignment="1" applyBorder="1" applyFont="1">
      <alignment horizontal="center" shrinkToFit="0" vertical="center" wrapText="1"/>
    </xf>
    <xf borderId="37" fillId="7" fontId="28" numFmtId="4" xfId="0" applyAlignment="1" applyBorder="1" applyFont="1" applyNumberFormat="1">
      <alignment horizontal="center" shrinkToFit="0" vertical="center" wrapText="1"/>
    </xf>
    <xf borderId="31" fillId="7" fontId="28" numFmtId="1" xfId="0" applyAlignment="1" applyBorder="1" applyFont="1" applyNumberFormat="1">
      <alignment horizontal="center" shrinkToFit="0" vertical="center" wrapText="1"/>
    </xf>
    <xf borderId="10" fillId="7" fontId="28" numFmtId="4" xfId="0" applyAlignment="1" applyBorder="1" applyFont="1" applyNumberFormat="1">
      <alignment horizontal="center" shrinkToFit="0" vertical="center" wrapText="1"/>
    </xf>
    <xf borderId="36" fillId="0" fontId="26" numFmtId="0" xfId="0" applyBorder="1" applyFont="1"/>
    <xf borderId="36" fillId="8" fontId="29" numFmtId="0" xfId="0" applyAlignment="1" applyBorder="1" applyFont="1">
      <alignment shrinkToFit="0" vertical="center" wrapText="1"/>
    </xf>
    <xf borderId="31" fillId="8" fontId="27" numFmtId="0" xfId="0" applyAlignment="1" applyBorder="1" applyFont="1">
      <alignment vertical="center"/>
    </xf>
    <xf borderId="31" fillId="8" fontId="27" numFmtId="4" xfId="0" applyAlignment="1" applyBorder="1" applyFont="1" applyNumberFormat="1">
      <alignment vertical="center"/>
    </xf>
    <xf borderId="31" fillId="8" fontId="27" numFmtId="1" xfId="0" applyAlignment="1" applyBorder="1" applyFont="1" applyNumberFormat="1">
      <alignment vertical="center"/>
    </xf>
    <xf borderId="10" fillId="8" fontId="29" numFmtId="164" xfId="0" applyAlignment="1" applyBorder="1" applyFont="1" applyNumberFormat="1">
      <alignment horizontal="center" shrinkToFit="0" vertical="center" wrapText="1"/>
    </xf>
    <xf borderId="9" fillId="4" fontId="27" numFmtId="0" xfId="0" applyAlignment="1" applyBorder="1" applyFont="1">
      <alignment shrinkToFit="0" vertical="center" wrapText="1"/>
    </xf>
    <xf borderId="31" fillId="4" fontId="27" numFmtId="0" xfId="0" applyAlignment="1" applyBorder="1" applyFont="1">
      <alignment horizontal="center" shrinkToFit="0" vertical="center" wrapText="1"/>
    </xf>
    <xf borderId="31" fillId="4" fontId="27" numFmtId="4" xfId="0" applyAlignment="1" applyBorder="1" applyFont="1" applyNumberFormat="1">
      <alignment horizontal="center" vertical="center"/>
    </xf>
    <xf borderId="31" fillId="4" fontId="27" numFmtId="164" xfId="0" applyAlignment="1" applyBorder="1" applyFont="1" applyNumberFormat="1">
      <alignment horizontal="center" vertical="center"/>
    </xf>
    <xf borderId="10" fillId="4" fontId="27" numFmtId="164" xfId="0" applyAlignment="1" applyBorder="1" applyFont="1" applyNumberFormat="1">
      <alignment horizontal="center" vertical="center"/>
    </xf>
    <xf borderId="31" fillId="8" fontId="27" numFmtId="164" xfId="0" applyAlignment="1" applyBorder="1" applyFont="1" applyNumberFormat="1">
      <alignment vertical="center"/>
    </xf>
    <xf borderId="31" fillId="4" fontId="27" numFmtId="164" xfId="0" applyAlignment="1" applyBorder="1" applyFont="1" applyNumberFormat="1">
      <alignment horizontal="center" readingOrder="0" vertical="center"/>
    </xf>
    <xf borderId="10" fillId="4" fontId="27" numFmtId="164" xfId="0" applyAlignment="1" applyBorder="1" applyFont="1" applyNumberFormat="1">
      <alignment horizontal="center" readingOrder="0" vertical="center"/>
    </xf>
    <xf borderId="36" fillId="7" fontId="28" numFmtId="0" xfId="0" applyAlignment="1" applyBorder="1" applyFont="1">
      <alignment shrinkToFit="0" vertical="center" wrapText="1"/>
    </xf>
    <xf borderId="31" fillId="7" fontId="29" numFmtId="0" xfId="0" applyAlignment="1" applyBorder="1" applyFont="1">
      <alignment vertical="center"/>
    </xf>
    <xf borderId="31" fillId="7" fontId="29" numFmtId="4" xfId="0" applyAlignment="1" applyBorder="1" applyFont="1" applyNumberFormat="1">
      <alignment vertical="center"/>
    </xf>
    <xf borderId="31" fillId="7" fontId="29" numFmtId="167" xfId="0" applyAlignment="1" applyBorder="1" applyFont="1" applyNumberFormat="1">
      <alignment vertical="center"/>
    </xf>
    <xf borderId="10" fillId="7" fontId="28" numFmtId="164" xfId="0" applyAlignment="1" applyBorder="1" applyFont="1" applyNumberFormat="1">
      <alignment horizontal="right" vertical="center"/>
    </xf>
    <xf borderId="31" fillId="4" fontId="27" numFmtId="4" xfId="0" applyAlignment="1" applyBorder="1" applyFont="1" applyNumberFormat="1">
      <alignment horizontal="center" shrinkToFit="0" vertical="center" wrapText="1"/>
    </xf>
    <xf borderId="31" fillId="4" fontId="27" numFmtId="164" xfId="0" applyAlignment="1" applyBorder="1" applyFont="1" applyNumberFormat="1">
      <alignment horizontal="center" readingOrder="0" shrinkToFit="0" vertical="center" wrapText="1"/>
    </xf>
    <xf borderId="10" fillId="4" fontId="27" numFmtId="164" xfId="0" applyAlignment="1" applyBorder="1" applyFont="1" applyNumberFormat="1">
      <alignment horizontal="center" shrinkToFit="0" vertical="center" wrapText="1"/>
    </xf>
    <xf borderId="31" fillId="4" fontId="27" numFmtId="164" xfId="0" applyAlignment="1" applyBorder="1" applyFont="1" applyNumberFormat="1">
      <alignment horizontal="center" shrinkToFit="0" vertical="center" wrapText="1"/>
    </xf>
    <xf borderId="31" fillId="4" fontId="27" numFmtId="164" xfId="0" applyAlignment="1" applyBorder="1" applyFont="1" applyNumberFormat="1">
      <alignment horizontal="center" shrinkToFit="0" vertical="bottom" wrapText="1"/>
    </xf>
    <xf borderId="9" fillId="9" fontId="27" numFmtId="0" xfId="0" applyAlignment="1" applyBorder="1" applyFill="1" applyFont="1">
      <alignment shrinkToFit="0" vertical="center" wrapText="1"/>
    </xf>
    <xf borderId="31" fillId="7" fontId="28" numFmtId="0" xfId="0" applyAlignment="1" applyBorder="1" applyFont="1">
      <alignment vertical="center"/>
    </xf>
    <xf borderId="31" fillId="7" fontId="28" numFmtId="4" xfId="0" applyAlignment="1" applyBorder="1" applyFont="1" applyNumberFormat="1">
      <alignment vertical="center"/>
    </xf>
    <xf borderId="31" fillId="7" fontId="28" numFmtId="164" xfId="0" applyAlignment="1" applyBorder="1" applyFont="1" applyNumberFormat="1">
      <alignment vertical="center"/>
    </xf>
    <xf borderId="31" fillId="7" fontId="29" numFmtId="164" xfId="0" applyAlignment="1" applyBorder="1" applyFont="1" applyNumberFormat="1">
      <alignment vertical="center"/>
    </xf>
    <xf borderId="31" fillId="7" fontId="28" numFmtId="167" xfId="0" applyAlignment="1" applyBorder="1" applyFont="1" applyNumberFormat="1">
      <alignment horizontal="center" shrinkToFit="0" vertical="center" wrapText="1"/>
    </xf>
    <xf borderId="36" fillId="4" fontId="27" numFmtId="0" xfId="0" applyAlignment="1" applyBorder="1" applyFont="1">
      <alignment vertical="center"/>
    </xf>
    <xf borderId="9" fillId="4" fontId="27" numFmtId="0" xfId="0" applyAlignment="1" applyBorder="1" applyFont="1">
      <alignment vertical="center"/>
    </xf>
    <xf borderId="9" fillId="4" fontId="27" numFmtId="4" xfId="0" applyAlignment="1" applyBorder="1" applyFont="1" applyNumberFormat="1">
      <alignment vertical="center"/>
    </xf>
    <xf borderId="10" fillId="4" fontId="27" numFmtId="4" xfId="0" applyAlignment="1" applyBorder="1" applyFont="1" applyNumberFormat="1">
      <alignment vertical="center"/>
    </xf>
    <xf borderId="9" fillId="9" fontId="27" numFmtId="0" xfId="0" applyAlignment="1" applyBorder="1" applyFont="1">
      <alignment readingOrder="0" shrinkToFit="0" vertical="center" wrapText="1"/>
    </xf>
    <xf borderId="9" fillId="4" fontId="27" numFmtId="0" xfId="0" applyAlignment="1" applyBorder="1" applyFont="1">
      <alignment readingOrder="0" vertical="center"/>
    </xf>
    <xf borderId="38" fillId="7" fontId="28" numFmtId="0" xfId="0" applyAlignment="1" applyBorder="1" applyFont="1">
      <alignment shrinkToFit="0" vertical="center" wrapText="1"/>
    </xf>
    <xf borderId="33" fillId="0" fontId="26" numFmtId="0" xfId="0" applyBorder="1" applyFont="1"/>
    <xf borderId="34" fillId="7" fontId="29" numFmtId="0" xfId="0" applyAlignment="1" applyBorder="1" applyFont="1">
      <alignment vertical="center"/>
    </xf>
    <xf borderId="34" fillId="7" fontId="29" numFmtId="4" xfId="0" applyAlignment="1" applyBorder="1" applyFont="1" applyNumberFormat="1">
      <alignment vertical="center"/>
    </xf>
    <xf borderId="34" fillId="7" fontId="29" numFmtId="164" xfId="0" applyAlignment="1" applyBorder="1" applyFont="1" applyNumberFormat="1">
      <alignment vertical="center"/>
    </xf>
    <xf borderId="35" fillId="7" fontId="28" numFmtId="164" xfId="0" applyAlignment="1" applyBorder="1" applyFont="1" applyNumberFormat="1">
      <alignment horizontal="right" vertical="center"/>
    </xf>
    <xf borderId="0" fillId="0" fontId="27" numFmtId="0" xfId="0" applyAlignment="1" applyFont="1">
      <alignment vertical="center"/>
    </xf>
    <xf borderId="0" fillId="0" fontId="12" numFmtId="0" xfId="0" applyAlignment="1" applyFont="1">
      <alignment vertical="bottom"/>
    </xf>
    <xf borderId="39" fillId="0" fontId="31" numFmtId="0" xfId="0" applyAlignment="1" applyBorder="1" applyFont="1">
      <alignment horizontal="center" readingOrder="0" vertical="bottom"/>
    </xf>
    <xf borderId="40" fillId="4" fontId="32" numFmtId="0" xfId="0" applyAlignment="1" applyBorder="1" applyFont="1">
      <alignment horizontal="right" vertical="bottom"/>
    </xf>
    <xf borderId="39" fillId="4" fontId="33" numFmtId="0" xfId="0" applyAlignment="1" applyBorder="1" applyFont="1">
      <alignment vertical="bottom"/>
    </xf>
    <xf borderId="0" fillId="4" fontId="12" numFmtId="0" xfId="0" applyAlignment="1" applyFont="1">
      <alignment vertical="bottom"/>
    </xf>
    <xf borderId="41" fillId="4" fontId="1" numFmtId="0" xfId="0" applyAlignment="1" applyBorder="1" applyFont="1">
      <alignment shrinkToFit="0" vertical="bottom" wrapText="1"/>
    </xf>
    <xf borderId="41" fillId="4" fontId="34" numFmtId="0" xfId="0" applyAlignment="1" applyBorder="1" applyFont="1">
      <alignment shrinkToFit="0" vertical="bottom" wrapText="1"/>
    </xf>
    <xf borderId="39" fillId="4" fontId="32" numFmtId="0" xfId="0" applyAlignment="1" applyBorder="1" applyFont="1">
      <alignment horizontal="right" vertical="bottom"/>
    </xf>
    <xf borderId="41" fillId="4" fontId="35" numFmtId="0" xfId="0" applyAlignment="1" applyBorder="1" applyFont="1">
      <alignment vertical="bottom"/>
    </xf>
    <xf borderId="41" fillId="4" fontId="1" numFmtId="0" xfId="0" applyAlignment="1" applyBorder="1" applyFont="1">
      <alignment vertical="bottom"/>
    </xf>
    <xf borderId="42" fillId="4" fontId="36" numFmtId="0" xfId="0" applyAlignment="1" applyBorder="1" applyFont="1">
      <alignment vertical="bottom"/>
    </xf>
    <xf borderId="43" fillId="0" fontId="26" numFmtId="0" xfId="0" applyBorder="1" applyFont="1"/>
    <xf borderId="44" fillId="4" fontId="37" numFmtId="0" xfId="0" applyAlignment="1" applyBorder="1" applyFont="1">
      <alignment shrinkToFit="0" vertical="bottom" wrapText="1"/>
    </xf>
    <xf borderId="45" fillId="0" fontId="26" numFmtId="0" xfId="0" applyBorder="1" applyFont="1"/>
    <xf borderId="39" fillId="4" fontId="12" numFmtId="0" xfId="0" applyAlignment="1" applyBorder="1" applyFont="1">
      <alignment horizontal="right" vertical="bottom"/>
    </xf>
    <xf borderId="39" fillId="4" fontId="38" numFmtId="0" xfId="0" applyAlignment="1" applyBorder="1" applyFont="1">
      <alignment vertical="bottom"/>
    </xf>
    <xf borderId="46" fillId="4" fontId="12" numFmtId="168" xfId="0" applyAlignment="1" applyBorder="1" applyFont="1" applyNumberFormat="1">
      <alignment horizontal="right" vertical="bottom"/>
    </xf>
    <xf borderId="47" fillId="4" fontId="39" numFmtId="0" xfId="0" applyAlignment="1" applyBorder="1" applyFont="1">
      <alignment vertical="bottom"/>
    </xf>
    <xf borderId="48" fillId="4" fontId="12" numFmtId="168" xfId="0" applyAlignment="1" applyBorder="1" applyFont="1" applyNumberFormat="1">
      <alignment horizontal="right" vertical="bottom"/>
    </xf>
    <xf borderId="49" fillId="4" fontId="39" numFmtId="0" xfId="0" applyAlignment="1" applyBorder="1" applyFont="1">
      <alignment vertical="bottom"/>
    </xf>
    <xf borderId="50" fillId="4" fontId="12" numFmtId="168" xfId="0" applyAlignment="1" applyBorder="1" applyFont="1" applyNumberFormat="1">
      <alignment horizontal="right" vertical="bottom"/>
    </xf>
    <xf borderId="51" fillId="4" fontId="12" numFmtId="0" xfId="0" applyAlignment="1" applyBorder="1" applyFont="1">
      <alignment vertical="bottom"/>
    </xf>
    <xf borderId="39" fillId="4" fontId="40" numFmtId="0" xfId="0" applyAlignment="1" applyBorder="1" applyFont="1">
      <alignment vertical="bottom"/>
    </xf>
    <xf borderId="49" fillId="4" fontId="12" numFmtId="0" xfId="0" applyAlignment="1" applyBorder="1" applyFont="1">
      <alignment vertical="bottom"/>
    </xf>
    <xf borderId="52" fillId="4" fontId="12" numFmtId="168" xfId="0" applyAlignment="1" applyBorder="1" applyFont="1" applyNumberFormat="1">
      <alignment horizontal="right" vertical="bottom"/>
    </xf>
    <xf borderId="53" fillId="4" fontId="3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23.63"/>
    <col customWidth="1" min="2" max="2" width="26.75"/>
    <col customWidth="1" min="3" max="6" width="12.63"/>
  </cols>
  <sheetData>
    <row r="1" ht="15.75" customHeight="1">
      <c r="A1" s="1"/>
      <c r="B1" s="2"/>
      <c r="C1" s="3" t="s">
        <v>0</v>
      </c>
      <c r="D1" s="3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ht="15.75" customHeight="1">
      <c r="A2" s="5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6" t="s">
        <v>49</v>
      </c>
      <c r="O2" s="6" t="s">
        <v>50</v>
      </c>
      <c r="P2" s="6" t="s">
        <v>51</v>
      </c>
      <c r="Q2" s="6" t="s">
        <v>52</v>
      </c>
      <c r="R2" s="6" t="s">
        <v>53</v>
      </c>
      <c r="S2" s="6" t="s">
        <v>54</v>
      </c>
      <c r="T2" s="6" t="s">
        <v>55</v>
      </c>
      <c r="U2" s="6" t="s">
        <v>56</v>
      </c>
      <c r="V2" s="6" t="s">
        <v>57</v>
      </c>
      <c r="W2" s="6" t="s">
        <v>58</v>
      </c>
      <c r="X2" s="6" t="s">
        <v>59</v>
      </c>
      <c r="Y2" s="6" t="s">
        <v>60</v>
      </c>
      <c r="Z2" s="6" t="s">
        <v>61</v>
      </c>
      <c r="AA2" s="6" t="s">
        <v>62</v>
      </c>
      <c r="AB2" s="6" t="s">
        <v>63</v>
      </c>
      <c r="AC2" s="6" t="s">
        <v>64</v>
      </c>
      <c r="AD2" s="6" t="s">
        <v>65</v>
      </c>
      <c r="AE2" s="6" t="s">
        <v>66</v>
      </c>
      <c r="AF2" s="6" t="s">
        <v>67</v>
      </c>
      <c r="AG2" s="6" t="s">
        <v>68</v>
      </c>
      <c r="AH2" s="6" t="s">
        <v>69</v>
      </c>
      <c r="AI2" s="6" t="s">
        <v>70</v>
      </c>
      <c r="AJ2" s="6" t="s">
        <v>71</v>
      </c>
      <c r="AK2" s="6" t="s">
        <v>72</v>
      </c>
      <c r="AL2" s="6" t="s">
        <v>73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ht="15.75" customHeight="1">
      <c r="A3" s="7" t="s">
        <v>74</v>
      </c>
      <c r="B3" s="8"/>
      <c r="C3" s="9">
        <f t="shared" ref="C3:AL3" si="1">SUM(C4,C22:C28)</f>
        <v>509710</v>
      </c>
      <c r="D3" s="9">
        <f t="shared" si="1"/>
        <v>546490</v>
      </c>
      <c r="E3" s="9">
        <f t="shared" si="1"/>
        <v>632150</v>
      </c>
      <c r="F3" s="9">
        <f t="shared" si="1"/>
        <v>699540</v>
      </c>
      <c r="G3" s="9">
        <f t="shared" si="1"/>
        <v>745360</v>
      </c>
      <c r="H3" s="9">
        <f t="shared" si="1"/>
        <v>822340</v>
      </c>
      <c r="I3" s="9">
        <f t="shared" si="1"/>
        <v>996402</v>
      </c>
      <c r="J3" s="9">
        <f t="shared" si="1"/>
        <v>1117178</v>
      </c>
      <c r="K3" s="9">
        <f t="shared" si="1"/>
        <v>1177566</v>
      </c>
      <c r="L3" s="9">
        <f t="shared" si="1"/>
        <v>1208000</v>
      </c>
      <c r="M3" s="9">
        <f t="shared" si="1"/>
        <v>1208000</v>
      </c>
      <c r="N3" s="9">
        <f t="shared" si="1"/>
        <v>1208000</v>
      </c>
      <c r="O3" s="9">
        <f t="shared" si="1"/>
        <v>1238200</v>
      </c>
      <c r="P3" s="9">
        <f t="shared" si="1"/>
        <v>1268400</v>
      </c>
      <c r="Q3" s="9">
        <f t="shared" si="1"/>
        <v>1298600</v>
      </c>
      <c r="R3" s="9">
        <f t="shared" si="1"/>
        <v>1328800</v>
      </c>
      <c r="S3" s="9">
        <f t="shared" si="1"/>
        <v>1359000</v>
      </c>
      <c r="T3" s="9">
        <f t="shared" si="1"/>
        <v>1389200</v>
      </c>
      <c r="U3" s="9">
        <f t="shared" si="1"/>
        <v>1419400</v>
      </c>
      <c r="V3" s="9">
        <f t="shared" si="1"/>
        <v>1449600</v>
      </c>
      <c r="W3" s="9">
        <f t="shared" si="1"/>
        <v>1479800</v>
      </c>
      <c r="X3" s="9">
        <f t="shared" si="1"/>
        <v>1510000</v>
      </c>
      <c r="Y3" s="9">
        <f t="shared" si="1"/>
        <v>1540200</v>
      </c>
      <c r="Z3" s="9">
        <f t="shared" si="1"/>
        <v>1571960</v>
      </c>
      <c r="AA3" s="9">
        <f t="shared" si="1"/>
        <v>1602190</v>
      </c>
      <c r="AB3" s="9">
        <f t="shared" si="1"/>
        <v>1632420</v>
      </c>
      <c r="AC3" s="9">
        <f t="shared" si="1"/>
        <v>1662650</v>
      </c>
      <c r="AD3" s="9">
        <f t="shared" si="1"/>
        <v>1692880</v>
      </c>
      <c r="AE3" s="9">
        <f t="shared" si="1"/>
        <v>1723110</v>
      </c>
      <c r="AF3" s="9">
        <f t="shared" si="1"/>
        <v>1753340</v>
      </c>
      <c r="AG3" s="9">
        <f t="shared" si="1"/>
        <v>1783570</v>
      </c>
      <c r="AH3" s="9">
        <f t="shared" si="1"/>
        <v>1813800</v>
      </c>
      <c r="AI3" s="9">
        <f t="shared" si="1"/>
        <v>1844030</v>
      </c>
      <c r="AJ3" s="9">
        <f t="shared" si="1"/>
        <v>1874260</v>
      </c>
      <c r="AK3" s="9">
        <f t="shared" si="1"/>
        <v>1904490</v>
      </c>
      <c r="AL3" s="9">
        <f t="shared" si="1"/>
        <v>1934720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ht="15.75" customHeight="1">
      <c r="A4" s="10" t="s">
        <v>75</v>
      </c>
      <c r="B4" s="11"/>
      <c r="C4" s="12">
        <f t="shared" ref="C4:H4" si="2">C5+C15</f>
        <v>830000</v>
      </c>
      <c r="D4" s="12">
        <f t="shared" si="2"/>
        <v>890000</v>
      </c>
      <c r="E4" s="12">
        <f t="shared" si="2"/>
        <v>1030000</v>
      </c>
      <c r="F4" s="12">
        <f t="shared" si="2"/>
        <v>1140000</v>
      </c>
      <c r="G4" s="12">
        <f t="shared" si="2"/>
        <v>1210000</v>
      </c>
      <c r="H4" s="12">
        <f t="shared" si="2"/>
        <v>1340000</v>
      </c>
      <c r="I4" s="12">
        <v>1650000.0</v>
      </c>
      <c r="J4" s="12">
        <v>1850000.0</v>
      </c>
      <c r="K4" s="12">
        <v>1950000.0</v>
      </c>
      <c r="L4" s="12">
        <v>2000000.0</v>
      </c>
      <c r="M4" s="12">
        <v>2000000.0</v>
      </c>
      <c r="N4" s="12">
        <v>2000000.0</v>
      </c>
      <c r="O4" s="12">
        <v>2050000.0</v>
      </c>
      <c r="P4" s="13">
        <v>2100000.0</v>
      </c>
      <c r="Q4" s="13">
        <v>2150000.0</v>
      </c>
      <c r="R4" s="13">
        <v>2200000.0</v>
      </c>
      <c r="S4" s="13">
        <v>2250000.0</v>
      </c>
      <c r="T4" s="13">
        <v>2300000.0</v>
      </c>
      <c r="U4" s="13">
        <v>2350000.0</v>
      </c>
      <c r="V4" s="13">
        <v>2400000.0</v>
      </c>
      <c r="W4" s="13">
        <v>2450000.0</v>
      </c>
      <c r="X4" s="13">
        <v>2500000.0</v>
      </c>
      <c r="Y4" s="13">
        <v>2550000.0</v>
      </c>
      <c r="Z4" s="13">
        <v>2600000.0</v>
      </c>
      <c r="AA4" s="13">
        <v>2650000.0</v>
      </c>
      <c r="AB4" s="13">
        <v>2700000.0</v>
      </c>
      <c r="AC4" s="13">
        <v>2750000.0</v>
      </c>
      <c r="AD4" s="13">
        <v>2800000.0</v>
      </c>
      <c r="AE4" s="13">
        <v>2850000.0</v>
      </c>
      <c r="AF4" s="13">
        <v>2900000.0</v>
      </c>
      <c r="AG4" s="13">
        <v>2950000.0</v>
      </c>
      <c r="AH4" s="13">
        <v>3000000.0</v>
      </c>
      <c r="AI4" s="13">
        <v>3050000.0</v>
      </c>
      <c r="AJ4" s="13">
        <v>3100000.0</v>
      </c>
      <c r="AK4" s="13">
        <v>3150000.0</v>
      </c>
      <c r="AL4" s="13">
        <v>3200000.0</v>
      </c>
      <c r="AM4" s="1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 ht="15.75" customHeight="1">
      <c r="A5" s="15" t="s">
        <v>76</v>
      </c>
      <c r="B5" s="16"/>
      <c r="C5" s="17">
        <v>630000.0</v>
      </c>
      <c r="D5" s="17">
        <v>670000.0</v>
      </c>
      <c r="E5" s="17">
        <v>750000.0</v>
      </c>
      <c r="F5" s="17">
        <v>820000.0</v>
      </c>
      <c r="G5" s="17">
        <v>860000.0</v>
      </c>
      <c r="H5" s="17">
        <v>970000.0</v>
      </c>
      <c r="I5" s="17">
        <f t="shared" ref="I5:AL5" si="3">I4*I18</f>
        <v>1221000</v>
      </c>
      <c r="J5" s="17">
        <f t="shared" si="3"/>
        <v>1369000</v>
      </c>
      <c r="K5" s="17">
        <f t="shared" si="3"/>
        <v>1443000</v>
      </c>
      <c r="L5" s="17">
        <f t="shared" si="3"/>
        <v>1500000</v>
      </c>
      <c r="M5" s="17">
        <f t="shared" si="3"/>
        <v>1500000</v>
      </c>
      <c r="N5" s="17">
        <f t="shared" si="3"/>
        <v>1500000</v>
      </c>
      <c r="O5" s="17">
        <f t="shared" si="3"/>
        <v>1537500</v>
      </c>
      <c r="P5" s="17">
        <f t="shared" si="3"/>
        <v>1575000</v>
      </c>
      <c r="Q5" s="17">
        <f t="shared" si="3"/>
        <v>1612500</v>
      </c>
      <c r="R5" s="17">
        <f t="shared" si="3"/>
        <v>1650000</v>
      </c>
      <c r="S5" s="17">
        <f t="shared" si="3"/>
        <v>1687500</v>
      </c>
      <c r="T5" s="17">
        <f t="shared" si="3"/>
        <v>1725000</v>
      </c>
      <c r="U5" s="17">
        <f t="shared" si="3"/>
        <v>1762500</v>
      </c>
      <c r="V5" s="17">
        <f t="shared" si="3"/>
        <v>1800000</v>
      </c>
      <c r="W5" s="17">
        <f t="shared" si="3"/>
        <v>1837500</v>
      </c>
      <c r="X5" s="17">
        <f t="shared" si="3"/>
        <v>1875000</v>
      </c>
      <c r="Y5" s="17">
        <f t="shared" si="3"/>
        <v>1912500</v>
      </c>
      <c r="Z5" s="17">
        <f t="shared" si="3"/>
        <v>2080000</v>
      </c>
      <c r="AA5" s="17">
        <f t="shared" si="3"/>
        <v>2120000</v>
      </c>
      <c r="AB5" s="17">
        <f t="shared" si="3"/>
        <v>2160000</v>
      </c>
      <c r="AC5" s="17">
        <f t="shared" si="3"/>
        <v>2200000</v>
      </c>
      <c r="AD5" s="17">
        <f t="shared" si="3"/>
        <v>2240000</v>
      </c>
      <c r="AE5" s="17">
        <f t="shared" si="3"/>
        <v>2280000</v>
      </c>
      <c r="AF5" s="17">
        <f t="shared" si="3"/>
        <v>2320000</v>
      </c>
      <c r="AG5" s="17">
        <f t="shared" si="3"/>
        <v>2360000</v>
      </c>
      <c r="AH5" s="17">
        <f t="shared" si="3"/>
        <v>2400000</v>
      </c>
      <c r="AI5" s="17">
        <f t="shared" si="3"/>
        <v>2440000</v>
      </c>
      <c r="AJ5" s="17">
        <f t="shared" si="3"/>
        <v>2480000</v>
      </c>
      <c r="AK5" s="17">
        <f t="shared" si="3"/>
        <v>2520000</v>
      </c>
      <c r="AL5" s="17">
        <f t="shared" si="3"/>
        <v>2560000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</row>
    <row r="6" ht="15.75" customHeight="1">
      <c r="A6" s="15" t="s">
        <v>77</v>
      </c>
      <c r="B6" s="18">
        <v>0.25</v>
      </c>
      <c r="C6" s="17">
        <f>C$5*B$6</f>
        <v>157500</v>
      </c>
      <c r="D6" s="17">
        <f>D$5*B$6</f>
        <v>167500</v>
      </c>
      <c r="E6" s="17">
        <f>E$5*B$6</f>
        <v>187500</v>
      </c>
      <c r="F6" s="17">
        <f>F$5*B$6</f>
        <v>205000</v>
      </c>
      <c r="G6" s="17">
        <f>G$5*B$6</f>
        <v>215000</v>
      </c>
      <c r="H6" s="17">
        <f>H$5*B$6</f>
        <v>242500</v>
      </c>
      <c r="I6" s="17">
        <f>I$5*B$6</f>
        <v>305250</v>
      </c>
      <c r="J6" s="17">
        <f>J$5*B$6</f>
        <v>342250</v>
      </c>
      <c r="K6" s="17">
        <f>K$5*B$6</f>
        <v>360750</v>
      </c>
      <c r="L6" s="17">
        <f>L$5*B$6</f>
        <v>375000</v>
      </c>
      <c r="M6" s="17">
        <f>M$5*B$6</f>
        <v>375000</v>
      </c>
      <c r="N6" s="17">
        <f>N$5*B$6</f>
        <v>375000</v>
      </c>
      <c r="O6" s="17">
        <f>O$5*B$6</f>
        <v>384375</v>
      </c>
      <c r="P6" s="17">
        <f>P$5*B$6</f>
        <v>393750</v>
      </c>
      <c r="Q6" s="17">
        <f>Q$5*B$6</f>
        <v>403125</v>
      </c>
      <c r="R6" s="17">
        <f>R$5*B$6</f>
        <v>412500</v>
      </c>
      <c r="S6" s="17">
        <f>S$5*B$6</f>
        <v>421875</v>
      </c>
      <c r="T6" s="17">
        <f>T$5*B$6</f>
        <v>431250</v>
      </c>
      <c r="U6" s="17">
        <f>U$5*B$6</f>
        <v>440625</v>
      </c>
      <c r="V6" s="17">
        <f>V$5*B$6</f>
        <v>450000</v>
      </c>
      <c r="W6" s="17">
        <f>W$5*B$6</f>
        <v>459375</v>
      </c>
      <c r="X6" s="17">
        <f>X$5*B$6</f>
        <v>468750</v>
      </c>
      <c r="Y6" s="17">
        <f>Y$5*B$6</f>
        <v>478125</v>
      </c>
      <c r="Z6" s="17">
        <f>Z$5*B$6</f>
        <v>520000</v>
      </c>
      <c r="AA6" s="17">
        <f>AA$5*B$6</f>
        <v>530000</v>
      </c>
      <c r="AB6" s="17">
        <f>AB$5*B$6</f>
        <v>540000</v>
      </c>
      <c r="AC6" s="17">
        <f>AC$5*B$6</f>
        <v>550000</v>
      </c>
      <c r="AD6" s="17">
        <f>AD$5*B$6</f>
        <v>560000</v>
      </c>
      <c r="AE6" s="17">
        <f>AE$5*B$6</f>
        <v>570000</v>
      </c>
      <c r="AF6" s="17">
        <f>AF$5*B$6</f>
        <v>580000</v>
      </c>
      <c r="AG6" s="17">
        <f>AG$5*B$6</f>
        <v>590000</v>
      </c>
      <c r="AH6" s="17">
        <f>AH$5*B$6</f>
        <v>600000</v>
      </c>
      <c r="AI6" s="17">
        <f>AI$5*B$6</f>
        <v>610000</v>
      </c>
      <c r="AJ6" s="17">
        <f>AJ$5*B$6</f>
        <v>620000</v>
      </c>
      <c r="AK6" s="17">
        <f>AK$5*B$6</f>
        <v>630000</v>
      </c>
      <c r="AL6" s="17">
        <f>AL$5*B$6</f>
        <v>640000</v>
      </c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</row>
    <row r="7" ht="15.75" customHeight="1">
      <c r="A7" s="19" t="s">
        <v>78</v>
      </c>
      <c r="B7" s="18">
        <v>0.2</v>
      </c>
      <c r="C7" s="20">
        <f>C$5*B$7</f>
        <v>126000</v>
      </c>
      <c r="D7" s="20">
        <f>D$5*B$7</f>
        <v>134000</v>
      </c>
      <c r="E7" s="20">
        <f>E$5*B$7</f>
        <v>150000</v>
      </c>
      <c r="F7" s="20">
        <f>F$5*B$7</f>
        <v>164000</v>
      </c>
      <c r="G7" s="20">
        <f>G$5*B$7</f>
        <v>172000</v>
      </c>
      <c r="H7" s="20">
        <f>H$5*B$7</f>
        <v>194000</v>
      </c>
      <c r="I7" s="20">
        <f>I$5*B$7</f>
        <v>244200</v>
      </c>
      <c r="J7" s="20">
        <f>J$5*B$7</f>
        <v>273800</v>
      </c>
      <c r="K7" s="20">
        <f>K$5*B$7</f>
        <v>288600</v>
      </c>
      <c r="L7" s="20">
        <f>L$5*B$7</f>
        <v>300000</v>
      </c>
      <c r="M7" s="20">
        <f>M$5*B$7</f>
        <v>300000</v>
      </c>
      <c r="N7" s="20">
        <f>N$5*B$7</f>
        <v>300000</v>
      </c>
      <c r="O7" s="20">
        <f>O$5*B$7</f>
        <v>307500</v>
      </c>
      <c r="P7" s="20">
        <f>P$5*B$7</f>
        <v>315000</v>
      </c>
      <c r="Q7" s="20">
        <f>Q$5*B$7</f>
        <v>322500</v>
      </c>
      <c r="R7" s="20">
        <f>R$5*B$7</f>
        <v>330000</v>
      </c>
      <c r="S7" s="20">
        <f>S$5*B$7</f>
        <v>337500</v>
      </c>
      <c r="T7" s="20">
        <f>T$5*B$7</f>
        <v>345000</v>
      </c>
      <c r="U7" s="20">
        <f>U$5*B$7</f>
        <v>352500</v>
      </c>
      <c r="V7" s="20">
        <f>V$5*B$7</f>
        <v>360000</v>
      </c>
      <c r="W7" s="20">
        <f>W$5*B$7</f>
        <v>367500</v>
      </c>
      <c r="X7" s="20">
        <f>X$5*B$7</f>
        <v>375000</v>
      </c>
      <c r="Y7" s="20">
        <f>Y$5*B$7</f>
        <v>382500</v>
      </c>
      <c r="Z7" s="20">
        <f>Z$5*B$7</f>
        <v>416000</v>
      </c>
      <c r="AA7" s="20">
        <f>AA$5*B$7</f>
        <v>424000</v>
      </c>
      <c r="AB7" s="20">
        <f>AB$5*B$7</f>
        <v>432000</v>
      </c>
      <c r="AC7" s="20">
        <f>AC$5*B$7</f>
        <v>440000</v>
      </c>
      <c r="AD7" s="20">
        <f>AD$5*B$7</f>
        <v>448000</v>
      </c>
      <c r="AE7" s="20">
        <f>AE$5*B$7</f>
        <v>456000</v>
      </c>
      <c r="AF7" s="20">
        <f>AF$5*B$7</f>
        <v>464000</v>
      </c>
      <c r="AG7" s="20">
        <f>AG$5*B$7</f>
        <v>472000</v>
      </c>
      <c r="AH7" s="20">
        <f>AH$5*B$7</f>
        <v>480000</v>
      </c>
      <c r="AI7" s="20">
        <f>AI$5*B$7</f>
        <v>488000</v>
      </c>
      <c r="AJ7" s="20">
        <f>AJ$5*B$7</f>
        <v>496000</v>
      </c>
      <c r="AK7" s="20">
        <f>AK$5*B$7</f>
        <v>504000</v>
      </c>
      <c r="AL7" s="20">
        <f>AL$5*B$7</f>
        <v>512000</v>
      </c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</row>
    <row r="8" ht="15.75" customHeight="1">
      <c r="A8" s="19" t="s">
        <v>79</v>
      </c>
      <c r="B8" s="18">
        <v>0.01</v>
      </c>
      <c r="C8" s="20">
        <f>C$5*B$8</f>
        <v>6300</v>
      </c>
      <c r="D8" s="20">
        <f>D$5*B$8</f>
        <v>6700</v>
      </c>
      <c r="E8" s="20">
        <f>E$5*B$8</f>
        <v>7500</v>
      </c>
      <c r="F8" s="20">
        <f>F$5*B$8</f>
        <v>8200</v>
      </c>
      <c r="G8" s="20">
        <f>G$5*B$8</f>
        <v>8600</v>
      </c>
      <c r="H8" s="20">
        <f>H$5*B$8</f>
        <v>9700</v>
      </c>
      <c r="I8" s="20">
        <f>I$5*B$8</f>
        <v>12210</v>
      </c>
      <c r="J8" s="20">
        <f>J$5*B$8</f>
        <v>13690</v>
      </c>
      <c r="K8" s="20">
        <f>K$5*B$8</f>
        <v>14430</v>
      </c>
      <c r="L8" s="20">
        <f>L$5*B$8</f>
        <v>15000</v>
      </c>
      <c r="M8" s="20">
        <f>M$5*B$8</f>
        <v>15000</v>
      </c>
      <c r="N8" s="20">
        <f>N$5*B$8</f>
        <v>15000</v>
      </c>
      <c r="O8" s="20">
        <f>O$5*B$8</f>
        <v>15375</v>
      </c>
      <c r="P8" s="20">
        <f>P$5*B$8</f>
        <v>15750</v>
      </c>
      <c r="Q8" s="20">
        <f>Q$5*B$8</f>
        <v>16125</v>
      </c>
      <c r="R8" s="20">
        <f>R$5*B$8</f>
        <v>16500</v>
      </c>
      <c r="S8" s="20">
        <f>S$5*B$8</f>
        <v>16875</v>
      </c>
      <c r="T8" s="20">
        <f>T$5*B$8</f>
        <v>17250</v>
      </c>
      <c r="U8" s="20">
        <f>U$5*B$8</f>
        <v>17625</v>
      </c>
      <c r="V8" s="20">
        <f>V$5*B$8</f>
        <v>18000</v>
      </c>
      <c r="W8" s="20">
        <f>W$5*B$8</f>
        <v>18375</v>
      </c>
      <c r="X8" s="20">
        <f>X$5*B$8</f>
        <v>18750</v>
      </c>
      <c r="Y8" s="20">
        <f>Y$5*B$8</f>
        <v>19125</v>
      </c>
      <c r="Z8" s="20">
        <f>Z$5*B$8</f>
        <v>20800</v>
      </c>
      <c r="AA8" s="20">
        <f>AA$5*B$8</f>
        <v>21200</v>
      </c>
      <c r="AB8" s="20">
        <f>AB$5*B$8</f>
        <v>21600</v>
      </c>
      <c r="AC8" s="20">
        <f>AC$5*B$8</f>
        <v>22000</v>
      </c>
      <c r="AD8" s="20">
        <f>AD$5*B$8</f>
        <v>22400</v>
      </c>
      <c r="AE8" s="20">
        <f>AE$5*B$8</f>
        <v>22800</v>
      </c>
      <c r="AF8" s="20">
        <f>AF$5*B$8</f>
        <v>23200</v>
      </c>
      <c r="AG8" s="20">
        <f>AG$5*B$8</f>
        <v>23600</v>
      </c>
      <c r="AH8" s="20">
        <f>AH$5*B$8</f>
        <v>24000</v>
      </c>
      <c r="AI8" s="20">
        <f>AI$5*B$8</f>
        <v>24400</v>
      </c>
      <c r="AJ8" s="20">
        <f>AJ$5*B$8</f>
        <v>24800</v>
      </c>
      <c r="AK8" s="20">
        <f>AK$5*B$8</f>
        <v>25200</v>
      </c>
      <c r="AL8" s="20">
        <f>AL$5*B$8</f>
        <v>25600</v>
      </c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</row>
    <row r="9" ht="15.75" customHeight="1">
      <c r="A9" s="19" t="s">
        <v>80</v>
      </c>
      <c r="B9" s="18">
        <v>0.03</v>
      </c>
      <c r="C9" s="20">
        <f>C$5*B$9</f>
        <v>18900</v>
      </c>
      <c r="D9" s="20">
        <f>D$5*B$9</f>
        <v>20100</v>
      </c>
      <c r="E9" s="20">
        <f>E$5*B$9</f>
        <v>22500</v>
      </c>
      <c r="F9" s="20">
        <f>F$5*B$9</f>
        <v>24600</v>
      </c>
      <c r="G9" s="20">
        <f>G$5*B$9</f>
        <v>25800</v>
      </c>
      <c r="H9" s="20">
        <f>H$5*B$9</f>
        <v>29100</v>
      </c>
      <c r="I9" s="20">
        <f>I$5*B$9</f>
        <v>36630</v>
      </c>
      <c r="J9" s="20">
        <f>J$5*B$9</f>
        <v>41070</v>
      </c>
      <c r="K9" s="20">
        <f>K$5*B$9</f>
        <v>43290</v>
      </c>
      <c r="L9" s="20">
        <f>L$5*B$9</f>
        <v>45000</v>
      </c>
      <c r="M9" s="20">
        <f>M$5*B$9</f>
        <v>45000</v>
      </c>
      <c r="N9" s="20">
        <f>N$5*B$9</f>
        <v>45000</v>
      </c>
      <c r="O9" s="20">
        <f>O$5*B$9</f>
        <v>46125</v>
      </c>
      <c r="P9" s="20">
        <f>P$5*B$9</f>
        <v>47250</v>
      </c>
      <c r="Q9" s="20">
        <f>Q$5*B$9</f>
        <v>48375</v>
      </c>
      <c r="R9" s="20">
        <f>R$5*B$9</f>
        <v>49500</v>
      </c>
      <c r="S9" s="20">
        <f>S$5*B$9</f>
        <v>50625</v>
      </c>
      <c r="T9" s="20">
        <f>T$5*B$9</f>
        <v>51750</v>
      </c>
      <c r="U9" s="20">
        <f>U$5*B$9</f>
        <v>52875</v>
      </c>
      <c r="V9" s="20">
        <f>V$5*B$9</f>
        <v>54000</v>
      </c>
      <c r="W9" s="20">
        <f>W$5*B$9</f>
        <v>55125</v>
      </c>
      <c r="X9" s="20">
        <f>X$5*B$9</f>
        <v>56250</v>
      </c>
      <c r="Y9" s="20">
        <f>Y$5*B$9</f>
        <v>57375</v>
      </c>
      <c r="Z9" s="20">
        <f>Z$5*B$9</f>
        <v>62400</v>
      </c>
      <c r="AA9" s="20">
        <f>AA$5*B$9</f>
        <v>63600</v>
      </c>
      <c r="AB9" s="20">
        <f>AB$5*B$9</f>
        <v>64800</v>
      </c>
      <c r="AC9" s="20">
        <f>AC$5*B$9</f>
        <v>66000</v>
      </c>
      <c r="AD9" s="20">
        <f>AD$5*B$9</f>
        <v>67200</v>
      </c>
      <c r="AE9" s="20">
        <f>AE$5*B$9</f>
        <v>68400</v>
      </c>
      <c r="AF9" s="20">
        <f>AF$5*B$9</f>
        <v>69600</v>
      </c>
      <c r="AG9" s="20">
        <f>AG$5*B$9</f>
        <v>70800</v>
      </c>
      <c r="AH9" s="20">
        <f>AH$5*B$9</f>
        <v>72000</v>
      </c>
      <c r="AI9" s="20">
        <f>AI$5*B$9</f>
        <v>73200</v>
      </c>
      <c r="AJ9" s="20">
        <f>AJ$5*B$9</f>
        <v>74400</v>
      </c>
      <c r="AK9" s="20">
        <f>AK$5*B$9</f>
        <v>75600</v>
      </c>
      <c r="AL9" s="20">
        <f>AL$5*B$9</f>
        <v>76800</v>
      </c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</row>
    <row r="10" ht="15.75" customHeight="1">
      <c r="A10" s="19" t="s">
        <v>81</v>
      </c>
      <c r="B10" s="18">
        <v>0.01</v>
      </c>
      <c r="C10" s="20">
        <f>C$5*B$10</f>
        <v>6300</v>
      </c>
      <c r="D10" s="20">
        <f>D$5*B$10</f>
        <v>6700</v>
      </c>
      <c r="E10" s="20">
        <f>E$5*B$10</f>
        <v>7500</v>
      </c>
      <c r="F10" s="20">
        <f>F$5*B$10</f>
        <v>8200</v>
      </c>
      <c r="G10" s="20">
        <f>G$5*B$10</f>
        <v>8600</v>
      </c>
      <c r="H10" s="20">
        <f>H$5*B$10</f>
        <v>9700</v>
      </c>
      <c r="I10" s="20">
        <f>I$5*B$10</f>
        <v>12210</v>
      </c>
      <c r="J10" s="20">
        <f>J$5*B$10</f>
        <v>13690</v>
      </c>
      <c r="K10" s="20">
        <f>K$5*B$10</f>
        <v>14430</v>
      </c>
      <c r="L10" s="20">
        <f>L$5*B$10</f>
        <v>15000</v>
      </c>
      <c r="M10" s="20">
        <f>M$5*B$10</f>
        <v>15000</v>
      </c>
      <c r="N10" s="20">
        <f>N$5*B$10</f>
        <v>15000</v>
      </c>
      <c r="O10" s="20">
        <f>O$5*B$10</f>
        <v>15375</v>
      </c>
      <c r="P10" s="20">
        <f>P$5*B$10</f>
        <v>15750</v>
      </c>
      <c r="Q10" s="20">
        <f>Q$5*B$10</f>
        <v>16125</v>
      </c>
      <c r="R10" s="20">
        <f>R$5*B$10</f>
        <v>16500</v>
      </c>
      <c r="S10" s="20">
        <f>S$5*B$10</f>
        <v>16875</v>
      </c>
      <c r="T10" s="20">
        <f>T$5*B$10</f>
        <v>17250</v>
      </c>
      <c r="U10" s="20">
        <f>U$5*B$10</f>
        <v>17625</v>
      </c>
      <c r="V10" s="20">
        <f>V$5*B$10</f>
        <v>18000</v>
      </c>
      <c r="W10" s="20">
        <f>W$5*B$10</f>
        <v>18375</v>
      </c>
      <c r="X10" s="20">
        <f>X$5*B$10</f>
        <v>18750</v>
      </c>
      <c r="Y10" s="20">
        <f>Y$5*B$10</f>
        <v>19125</v>
      </c>
      <c r="Z10" s="20">
        <f>Z$5*B$10</f>
        <v>20800</v>
      </c>
      <c r="AA10" s="20">
        <f>AA$5*B$10</f>
        <v>21200</v>
      </c>
      <c r="AB10" s="20">
        <f>AB$5*B$10</f>
        <v>21600</v>
      </c>
      <c r="AC10" s="20">
        <f>AC$5*B$10</f>
        <v>22000</v>
      </c>
      <c r="AD10" s="20">
        <f>AD$5*B$10</f>
        <v>22400</v>
      </c>
      <c r="AE10" s="20">
        <f>AE$5*B$10</f>
        <v>22800</v>
      </c>
      <c r="AF10" s="20">
        <f>AF$5*B$10</f>
        <v>23200</v>
      </c>
      <c r="AG10" s="20">
        <f>AG$5*B$10</f>
        <v>23600</v>
      </c>
      <c r="AH10" s="20">
        <f>AH$5*B$10</f>
        <v>24000</v>
      </c>
      <c r="AI10" s="20">
        <f>AI$5*B$10</f>
        <v>24400</v>
      </c>
      <c r="AJ10" s="20">
        <f>AJ$5*B$10</f>
        <v>24800</v>
      </c>
      <c r="AK10" s="20">
        <f>AK$5*B$10</f>
        <v>25200</v>
      </c>
      <c r="AL10" s="20">
        <f>AL$5*B$10</f>
        <v>25600</v>
      </c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</row>
    <row r="11" ht="15.75" customHeight="1">
      <c r="A11" s="15" t="s">
        <v>82</v>
      </c>
      <c r="B11" s="18">
        <v>0.65</v>
      </c>
      <c r="C11" s="17">
        <f>C$5*B$11</f>
        <v>409500</v>
      </c>
      <c r="D11" s="17">
        <f>D$5*B$11</f>
        <v>435500</v>
      </c>
      <c r="E11" s="17">
        <f>E$5*B$11</f>
        <v>487500</v>
      </c>
      <c r="F11" s="17">
        <f>F$5*B$11</f>
        <v>533000</v>
      </c>
      <c r="G11" s="17">
        <f>G$5*B$11</f>
        <v>559000</v>
      </c>
      <c r="H11" s="17">
        <f>H$5*B$11</f>
        <v>630500</v>
      </c>
      <c r="I11" s="17">
        <f>I$5*B$11</f>
        <v>793650</v>
      </c>
      <c r="J11" s="17">
        <f>J$5*B$11</f>
        <v>889850</v>
      </c>
      <c r="K11" s="17">
        <f>K$5*B$11</f>
        <v>937950</v>
      </c>
      <c r="L11" s="17">
        <f>L$5*B$11</f>
        <v>975000</v>
      </c>
      <c r="M11" s="17">
        <f>M$5*B$11</f>
        <v>975000</v>
      </c>
      <c r="N11" s="17">
        <f>N$5*B$11</f>
        <v>975000</v>
      </c>
      <c r="O11" s="17">
        <f>O$5*B$11</f>
        <v>999375</v>
      </c>
      <c r="P11" s="17">
        <f>P$5*B$11</f>
        <v>1023750</v>
      </c>
      <c r="Q11" s="17">
        <f>Q$5*B$11</f>
        <v>1048125</v>
      </c>
      <c r="R11" s="17">
        <f>R$5*B$11</f>
        <v>1072500</v>
      </c>
      <c r="S11" s="17">
        <f>S$5*B$11</f>
        <v>1096875</v>
      </c>
      <c r="T11" s="17">
        <f>T$5*B$11</f>
        <v>1121250</v>
      </c>
      <c r="U11" s="17">
        <f>U$5*B$11</f>
        <v>1145625</v>
      </c>
      <c r="V11" s="17">
        <f>V$5*B$11</f>
        <v>1170000</v>
      </c>
      <c r="W11" s="17">
        <f>W$5*B$11</f>
        <v>1194375</v>
      </c>
      <c r="X11" s="17">
        <f>X$5*B$11</f>
        <v>1218750</v>
      </c>
      <c r="Y11" s="17">
        <f>Y$5*B$11</f>
        <v>1243125</v>
      </c>
      <c r="Z11" s="17">
        <f>Z$5*B$11</f>
        <v>1352000</v>
      </c>
      <c r="AA11" s="17">
        <f>AA$5*B$11</f>
        <v>1378000</v>
      </c>
      <c r="AB11" s="17">
        <f>AB$5*B$11</f>
        <v>1404000</v>
      </c>
      <c r="AC11" s="17">
        <f>AC$5*B$11</f>
        <v>1430000</v>
      </c>
      <c r="AD11" s="17">
        <f>AD$5*B$11</f>
        <v>1456000</v>
      </c>
      <c r="AE11" s="17">
        <f>AE$5*B$11</f>
        <v>1482000</v>
      </c>
      <c r="AF11" s="17">
        <f>AF$5*B$11</f>
        <v>1508000</v>
      </c>
      <c r="AG11" s="17">
        <f>AG$5*B$11</f>
        <v>1534000</v>
      </c>
      <c r="AH11" s="17">
        <f>AH$5*B$11</f>
        <v>1560000</v>
      </c>
      <c r="AI11" s="17">
        <f>AI$5*B$11</f>
        <v>1586000</v>
      </c>
      <c r="AJ11" s="17">
        <f>AJ$5*B$11</f>
        <v>1612000</v>
      </c>
      <c r="AK11" s="17">
        <f>AK$5*B$11</f>
        <v>1638000</v>
      </c>
      <c r="AL11" s="17">
        <f>AL$5*B$11</f>
        <v>1664000</v>
      </c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</row>
    <row r="12" ht="15.75" customHeight="1">
      <c r="A12" s="19" t="s">
        <v>79</v>
      </c>
      <c r="B12" s="18">
        <v>0.02</v>
      </c>
      <c r="C12" s="20">
        <f>B$12*C$5</f>
        <v>12600</v>
      </c>
      <c r="D12" s="20">
        <f>D$5*B$12</f>
        <v>13400</v>
      </c>
      <c r="E12" s="20">
        <f>E$5*B$12</f>
        <v>15000</v>
      </c>
      <c r="F12" s="20">
        <f>F$5*B$12</f>
        <v>16400</v>
      </c>
      <c r="G12" s="20">
        <f>G$5*B$12</f>
        <v>17200</v>
      </c>
      <c r="H12" s="20">
        <f>H$5*B$12</f>
        <v>19400</v>
      </c>
      <c r="I12" s="20">
        <f>I$5*B$12</f>
        <v>24420</v>
      </c>
      <c r="J12" s="20">
        <f>J$5*B$12</f>
        <v>27380</v>
      </c>
      <c r="K12" s="20">
        <f>K$5*B$12</f>
        <v>28860</v>
      </c>
      <c r="L12" s="20">
        <f>L$5*B$12</f>
        <v>30000</v>
      </c>
      <c r="M12" s="20">
        <f>M$5*B$12</f>
        <v>30000</v>
      </c>
      <c r="N12" s="20">
        <f>N$5*B$12</f>
        <v>30000</v>
      </c>
      <c r="O12" s="20">
        <f>O$5*B$12</f>
        <v>30750</v>
      </c>
      <c r="P12" s="20">
        <f>P$5*B$12</f>
        <v>31500</v>
      </c>
      <c r="Q12" s="20">
        <f>Q$5*B$12</f>
        <v>32250</v>
      </c>
      <c r="R12" s="20">
        <f>R$5*B$12</f>
        <v>33000</v>
      </c>
      <c r="S12" s="20">
        <f>S$5*B$12</f>
        <v>33750</v>
      </c>
      <c r="T12" s="20">
        <f>T$5*B$12</f>
        <v>34500</v>
      </c>
      <c r="U12" s="20">
        <f>U$5*B$12</f>
        <v>35250</v>
      </c>
      <c r="V12" s="20">
        <f>V$5*B$12</f>
        <v>36000</v>
      </c>
      <c r="W12" s="20">
        <f>W$5*B$12</f>
        <v>36750</v>
      </c>
      <c r="X12" s="20">
        <f>X$5*B$12</f>
        <v>37500</v>
      </c>
      <c r="Y12" s="20">
        <f>Y$5*B$12</f>
        <v>38250</v>
      </c>
      <c r="Z12" s="20">
        <f>Z$5*B$12</f>
        <v>41600</v>
      </c>
      <c r="AA12" s="20">
        <f>AA$5*B$12</f>
        <v>42400</v>
      </c>
      <c r="AB12" s="20">
        <f>AB$5*B$12</f>
        <v>43200</v>
      </c>
      <c r="AC12" s="20">
        <f>AC$5*B$12</f>
        <v>44000</v>
      </c>
      <c r="AD12" s="20">
        <f>AD$5*B$12</f>
        <v>44800</v>
      </c>
      <c r="AE12" s="20">
        <f>AE$5*B$12</f>
        <v>45600</v>
      </c>
      <c r="AF12" s="20">
        <f>AF$5*B$12</f>
        <v>46400</v>
      </c>
      <c r="AG12" s="20">
        <f>AG$5*B$12</f>
        <v>47200</v>
      </c>
      <c r="AH12" s="20">
        <f>AH$5*B$12</f>
        <v>48000</v>
      </c>
      <c r="AI12" s="20">
        <f>AI$5*B$12</f>
        <v>48800</v>
      </c>
      <c r="AJ12" s="20">
        <f>AJ$5*B$12</f>
        <v>49600</v>
      </c>
      <c r="AK12" s="20">
        <f>AK$5*B$12</f>
        <v>50400</v>
      </c>
      <c r="AL12" s="20">
        <f>AL$5*B$12</f>
        <v>51200</v>
      </c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</row>
    <row r="13" ht="15.75" customHeight="1">
      <c r="A13" s="19" t="s">
        <v>80</v>
      </c>
      <c r="B13" s="18">
        <v>0.8</v>
      </c>
      <c r="C13" s="20">
        <f>C$5*B$13</f>
        <v>504000</v>
      </c>
      <c r="D13" s="20">
        <f>D$5*B$13</f>
        <v>536000</v>
      </c>
      <c r="E13" s="20">
        <f>E$5*B$13</f>
        <v>600000</v>
      </c>
      <c r="F13" s="20">
        <f>F$5*B$13</f>
        <v>656000</v>
      </c>
      <c r="G13" s="20">
        <f>G$5*B$13</f>
        <v>688000</v>
      </c>
      <c r="H13" s="20">
        <f>H$5*B$13</f>
        <v>776000</v>
      </c>
      <c r="I13" s="20">
        <f>I$5*B$13</f>
        <v>976800</v>
      </c>
      <c r="J13" s="20">
        <f>J$5*B$13</f>
        <v>1095200</v>
      </c>
      <c r="K13" s="20">
        <f>K$5*B$13</f>
        <v>1154400</v>
      </c>
      <c r="L13" s="20">
        <f>L$5*B$13</f>
        <v>1200000</v>
      </c>
      <c r="M13" s="20">
        <f>M$5*B$13</f>
        <v>1200000</v>
      </c>
      <c r="N13" s="20">
        <f>N$5*B$13</f>
        <v>1200000</v>
      </c>
      <c r="O13" s="20">
        <f>O$5*B$13</f>
        <v>1230000</v>
      </c>
      <c r="P13" s="20">
        <f>P$5*B$13</f>
        <v>1260000</v>
      </c>
      <c r="Q13" s="20">
        <f>Q$5*B$13</f>
        <v>1290000</v>
      </c>
      <c r="R13" s="20">
        <f>R$5*B$13</f>
        <v>1320000</v>
      </c>
      <c r="S13" s="20">
        <f>S$5*B$13</f>
        <v>1350000</v>
      </c>
      <c r="T13" s="20">
        <f>T$5*B$13</f>
        <v>1380000</v>
      </c>
      <c r="U13" s="20">
        <f>U$5*B$13</f>
        <v>1410000</v>
      </c>
      <c r="V13" s="20">
        <f>V$5*B$13</f>
        <v>1440000</v>
      </c>
      <c r="W13" s="20">
        <f>W$5*B$13</f>
        <v>1470000</v>
      </c>
      <c r="X13" s="20">
        <f>X$5*B$13</f>
        <v>1500000</v>
      </c>
      <c r="Y13" s="20">
        <f>Y$5*B$13</f>
        <v>1530000</v>
      </c>
      <c r="Z13" s="20">
        <f>Z$5*B$13</f>
        <v>1664000</v>
      </c>
      <c r="AA13" s="20">
        <f>AA$5*B$13</f>
        <v>1696000</v>
      </c>
      <c r="AB13" s="20">
        <f>AB$5*B$13</f>
        <v>1728000</v>
      </c>
      <c r="AC13" s="20">
        <f>AC$5*B$13</f>
        <v>1760000</v>
      </c>
      <c r="AD13" s="20">
        <f>AD$5*B$13</f>
        <v>1792000</v>
      </c>
      <c r="AE13" s="20">
        <f>AE$5*B$13</f>
        <v>1824000</v>
      </c>
      <c r="AF13" s="20">
        <f>AF$5*B$13</f>
        <v>1856000</v>
      </c>
      <c r="AG13" s="20">
        <f>AG$5*B$13</f>
        <v>1888000</v>
      </c>
      <c r="AH13" s="20">
        <f>AH$5*B$13</f>
        <v>1920000</v>
      </c>
      <c r="AI13" s="20">
        <f>AI$5*B$13</f>
        <v>1952000</v>
      </c>
      <c r="AJ13" s="20">
        <f>AJ$5*B$13</f>
        <v>1984000</v>
      </c>
      <c r="AK13" s="20">
        <f>AK$5*B$13</f>
        <v>2016000</v>
      </c>
      <c r="AL13" s="20">
        <f>AL$5*B$13</f>
        <v>2048000</v>
      </c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</row>
    <row r="14" ht="15.75" customHeight="1">
      <c r="A14" s="19" t="s">
        <v>81</v>
      </c>
      <c r="B14" s="18">
        <v>0.18</v>
      </c>
      <c r="C14" s="20">
        <f>C$5*B$14</f>
        <v>113400</v>
      </c>
      <c r="D14" s="20">
        <f>D$5*B$14</f>
        <v>120600</v>
      </c>
      <c r="E14" s="20">
        <f>E$5*B$14</f>
        <v>135000</v>
      </c>
      <c r="F14" s="20">
        <f>F$5*B$14</f>
        <v>147600</v>
      </c>
      <c r="G14" s="20">
        <f>G$5*B$14</f>
        <v>154800</v>
      </c>
      <c r="H14" s="20">
        <f>H$5*B$14</f>
        <v>174600</v>
      </c>
      <c r="I14" s="20">
        <f>I$5*B$14</f>
        <v>219780</v>
      </c>
      <c r="J14" s="20">
        <f>J$5*B$14</f>
        <v>246420</v>
      </c>
      <c r="K14" s="20">
        <f>K$5*B$14</f>
        <v>259740</v>
      </c>
      <c r="L14" s="20">
        <f>L$5*B$14</f>
        <v>270000</v>
      </c>
      <c r="M14" s="20">
        <f>M$5*B$14</f>
        <v>270000</v>
      </c>
      <c r="N14" s="20">
        <f>N$5*B$14</f>
        <v>270000</v>
      </c>
      <c r="O14" s="20">
        <f>O$5*B$14</f>
        <v>276750</v>
      </c>
      <c r="P14" s="20">
        <f>P$5*B$14</f>
        <v>283500</v>
      </c>
      <c r="Q14" s="20">
        <f>Q$5*B$14</f>
        <v>290250</v>
      </c>
      <c r="R14" s="20">
        <f>R$5*B$14</f>
        <v>297000</v>
      </c>
      <c r="S14" s="20">
        <f>S$5*B$14</f>
        <v>303750</v>
      </c>
      <c r="T14" s="20">
        <f>T$5*B$14</f>
        <v>310500</v>
      </c>
      <c r="U14" s="20">
        <f>U$5*B$14</f>
        <v>317250</v>
      </c>
      <c r="V14" s="20">
        <f>V$5*B$14</f>
        <v>324000</v>
      </c>
      <c r="W14" s="20">
        <f>W$5*B$14</f>
        <v>330750</v>
      </c>
      <c r="X14" s="20">
        <f>X$5*B$14</f>
        <v>337500</v>
      </c>
      <c r="Y14" s="20">
        <f>Y$5*B$14</f>
        <v>344250</v>
      </c>
      <c r="Z14" s="20">
        <f>Z$5*B$14</f>
        <v>374400</v>
      </c>
      <c r="AA14" s="20">
        <f>AA$5*B$14</f>
        <v>381600</v>
      </c>
      <c r="AB14" s="20">
        <f>AB$5*B$14</f>
        <v>388800</v>
      </c>
      <c r="AC14" s="20">
        <f>AC$5*B$14</f>
        <v>396000</v>
      </c>
      <c r="AD14" s="20">
        <f>AD$5*B$14</f>
        <v>403200</v>
      </c>
      <c r="AE14" s="20">
        <f>AE$5*B$14</f>
        <v>410400</v>
      </c>
      <c r="AF14" s="20">
        <f>AF$5*B$14</f>
        <v>417600</v>
      </c>
      <c r="AG14" s="20">
        <f>AG$5*B$14</f>
        <v>424800</v>
      </c>
      <c r="AH14" s="20">
        <f>AH$5*B$14</f>
        <v>432000</v>
      </c>
      <c r="AI14" s="20">
        <f>AI$5*B$14</f>
        <v>439200</v>
      </c>
      <c r="AJ14" s="20">
        <f>AJ$5*B$14</f>
        <v>446400</v>
      </c>
      <c r="AK14" s="20">
        <f>AK$5*B$14</f>
        <v>453600</v>
      </c>
      <c r="AL14" s="20">
        <f>AL$5*B$14</f>
        <v>460800</v>
      </c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</row>
    <row r="15" ht="15.75" customHeight="1">
      <c r="A15" s="15" t="s">
        <v>83</v>
      </c>
      <c r="B15" s="16"/>
      <c r="C15" s="17">
        <v>200000.0</v>
      </c>
      <c r="D15" s="17">
        <v>220000.0</v>
      </c>
      <c r="E15" s="17">
        <v>280000.0</v>
      </c>
      <c r="F15" s="17">
        <v>320000.0</v>
      </c>
      <c r="G15" s="17">
        <v>350000.0</v>
      </c>
      <c r="H15" s="17">
        <v>370000.0</v>
      </c>
      <c r="I15" s="17">
        <f t="shared" ref="I15:AL15" si="4">I$4*I$19</f>
        <v>429000</v>
      </c>
      <c r="J15" s="17">
        <f t="shared" si="4"/>
        <v>481000</v>
      </c>
      <c r="K15" s="17">
        <f t="shared" si="4"/>
        <v>507000</v>
      </c>
      <c r="L15" s="17">
        <f t="shared" si="4"/>
        <v>500000</v>
      </c>
      <c r="M15" s="17">
        <f t="shared" si="4"/>
        <v>500000</v>
      </c>
      <c r="N15" s="17">
        <f t="shared" si="4"/>
        <v>500000</v>
      </c>
      <c r="O15" s="17">
        <f t="shared" si="4"/>
        <v>512500</v>
      </c>
      <c r="P15" s="17">
        <f t="shared" si="4"/>
        <v>525000</v>
      </c>
      <c r="Q15" s="17">
        <f t="shared" si="4"/>
        <v>537500</v>
      </c>
      <c r="R15" s="17">
        <f t="shared" si="4"/>
        <v>550000</v>
      </c>
      <c r="S15" s="17">
        <f t="shared" si="4"/>
        <v>562500</v>
      </c>
      <c r="T15" s="17">
        <f t="shared" si="4"/>
        <v>575000</v>
      </c>
      <c r="U15" s="17">
        <f t="shared" si="4"/>
        <v>587500</v>
      </c>
      <c r="V15" s="17">
        <f t="shared" si="4"/>
        <v>600000</v>
      </c>
      <c r="W15" s="17">
        <f t="shared" si="4"/>
        <v>612500</v>
      </c>
      <c r="X15" s="17">
        <f t="shared" si="4"/>
        <v>625000</v>
      </c>
      <c r="Y15" s="17">
        <f t="shared" si="4"/>
        <v>637500</v>
      </c>
      <c r="Z15" s="17">
        <f t="shared" si="4"/>
        <v>520000</v>
      </c>
      <c r="AA15" s="17">
        <f t="shared" si="4"/>
        <v>530000</v>
      </c>
      <c r="AB15" s="17">
        <f t="shared" si="4"/>
        <v>540000</v>
      </c>
      <c r="AC15" s="17">
        <f t="shared" si="4"/>
        <v>550000</v>
      </c>
      <c r="AD15" s="17">
        <f t="shared" si="4"/>
        <v>560000</v>
      </c>
      <c r="AE15" s="17">
        <f t="shared" si="4"/>
        <v>570000</v>
      </c>
      <c r="AF15" s="17">
        <f t="shared" si="4"/>
        <v>580000</v>
      </c>
      <c r="AG15" s="17">
        <f t="shared" si="4"/>
        <v>590000</v>
      </c>
      <c r="AH15" s="17">
        <f t="shared" si="4"/>
        <v>600000</v>
      </c>
      <c r="AI15" s="17">
        <f t="shared" si="4"/>
        <v>610000</v>
      </c>
      <c r="AJ15" s="17">
        <f t="shared" si="4"/>
        <v>620000</v>
      </c>
      <c r="AK15" s="17">
        <f t="shared" si="4"/>
        <v>630000</v>
      </c>
      <c r="AL15" s="17">
        <f t="shared" si="4"/>
        <v>640000</v>
      </c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</row>
    <row r="16" ht="15.75" customHeight="1">
      <c r="A16" s="21" t="s">
        <v>84</v>
      </c>
      <c r="B16" s="22">
        <v>0.05</v>
      </c>
      <c r="C16" s="20">
        <f>C$15*B$16</f>
        <v>10000</v>
      </c>
      <c r="D16" s="20">
        <f>D$15*B$16</f>
        <v>11000</v>
      </c>
      <c r="E16" s="20">
        <f>E$15*B$16</f>
        <v>14000</v>
      </c>
      <c r="F16" s="20">
        <f>F$15*B$16</f>
        <v>16000</v>
      </c>
      <c r="G16" s="20">
        <f>G$15*B$16</f>
        <v>17500</v>
      </c>
      <c r="H16" s="20">
        <f>H$15*B$16</f>
        <v>18500</v>
      </c>
      <c r="I16" s="20">
        <f>I$15*B$16</f>
        <v>21450</v>
      </c>
      <c r="J16" s="20">
        <f>J$15*B$16</f>
        <v>24050</v>
      </c>
      <c r="K16" s="20">
        <f t="shared" ref="K16:K17" si="5">K$15*B$16</f>
        <v>25350</v>
      </c>
      <c r="L16" s="20">
        <f>L$15*B$16</f>
        <v>25000</v>
      </c>
      <c r="M16" s="20">
        <f>M$15*B$16</f>
        <v>25000</v>
      </c>
      <c r="N16" s="20">
        <f>N$15*B$16</f>
        <v>25000</v>
      </c>
      <c r="O16" s="20">
        <f>O$15*B$16</f>
        <v>25625</v>
      </c>
      <c r="P16" s="20">
        <f>P$15*B$16</f>
        <v>26250</v>
      </c>
      <c r="Q16" s="20">
        <f>Q$15*B$16</f>
        <v>26875</v>
      </c>
      <c r="R16" s="20">
        <f>R$15*B$16</f>
        <v>27500</v>
      </c>
      <c r="S16" s="20">
        <f>S$15*B$16</f>
        <v>28125</v>
      </c>
      <c r="T16" s="20">
        <f>T$15*B$16</f>
        <v>28750</v>
      </c>
      <c r="U16" s="20">
        <f>U$15*B$16</f>
        <v>29375</v>
      </c>
      <c r="V16" s="20">
        <f>V$15*B$16</f>
        <v>30000</v>
      </c>
      <c r="W16" s="20">
        <f>W$15*B$16</f>
        <v>30625</v>
      </c>
      <c r="X16" s="20">
        <f>X$15*B$16</f>
        <v>31250</v>
      </c>
      <c r="Y16" s="20">
        <f>Y$15*B$16</f>
        <v>31875</v>
      </c>
      <c r="Z16" s="20">
        <f>Z$15*B$16</f>
        <v>26000</v>
      </c>
      <c r="AA16" s="20">
        <f>AA$15*B$16</f>
        <v>26500</v>
      </c>
      <c r="AB16" s="20">
        <f>AB$15*B$16</f>
        <v>27000</v>
      </c>
      <c r="AC16" s="20">
        <f>AC$15*B$16</f>
        <v>27500</v>
      </c>
      <c r="AD16" s="20">
        <f>AD$15*B$16</f>
        <v>28000</v>
      </c>
      <c r="AE16" s="20">
        <f>AE$15*B$16</f>
        <v>28500</v>
      </c>
      <c r="AF16" s="20">
        <f>AF$15*B$16</f>
        <v>29000</v>
      </c>
      <c r="AG16" s="20">
        <f>AG$15*B$16</f>
        <v>29500</v>
      </c>
      <c r="AH16" s="20">
        <f>AH$15*B$16</f>
        <v>30000</v>
      </c>
      <c r="AI16" s="20">
        <f>AI$15*B$16</f>
        <v>30500</v>
      </c>
      <c r="AJ16" s="20">
        <f>AJ$15*B$16</f>
        <v>31000</v>
      </c>
      <c r="AK16" s="20">
        <f>AK$15*B$16</f>
        <v>31500</v>
      </c>
      <c r="AL16" s="20">
        <f>AL$15*B$16</f>
        <v>32000</v>
      </c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</row>
    <row r="17" ht="15.75" customHeight="1">
      <c r="A17" s="21" t="s">
        <v>82</v>
      </c>
      <c r="B17" s="22">
        <v>0.95</v>
      </c>
      <c r="C17" s="20">
        <f>C$15*B$17</f>
        <v>190000</v>
      </c>
      <c r="D17" s="20">
        <f>D$15*B$17</f>
        <v>209000</v>
      </c>
      <c r="E17" s="20">
        <f>E$15*B$17</f>
        <v>266000</v>
      </c>
      <c r="F17" s="20">
        <f>F$15*B$17</f>
        <v>304000</v>
      </c>
      <c r="G17" s="20">
        <f>G$15*B$17</f>
        <v>332500</v>
      </c>
      <c r="H17" s="20">
        <f>H$15*B$17</f>
        <v>351500</v>
      </c>
      <c r="I17" s="20">
        <f>I$15*B$17</f>
        <v>407550</v>
      </c>
      <c r="J17" s="20">
        <f>J$15*B$17</f>
        <v>456950</v>
      </c>
      <c r="K17" s="20">
        <f t="shared" si="5"/>
        <v>25350</v>
      </c>
      <c r="L17" s="20">
        <f>L$15*B$17</f>
        <v>475000</v>
      </c>
      <c r="M17" s="20">
        <f>M$15*B$17</f>
        <v>475000</v>
      </c>
      <c r="N17" s="20">
        <f>N$15*B$17</f>
        <v>475000</v>
      </c>
      <c r="O17" s="20">
        <f>O$15*B$17</f>
        <v>486875</v>
      </c>
      <c r="P17" s="20">
        <f>P$15*B$17</f>
        <v>498750</v>
      </c>
      <c r="Q17" s="20">
        <f>Q$15*B$17</f>
        <v>510625</v>
      </c>
      <c r="R17" s="20">
        <f>R$15*B$17</f>
        <v>522500</v>
      </c>
      <c r="S17" s="20">
        <f>S$15*B$17</f>
        <v>534375</v>
      </c>
      <c r="T17" s="20">
        <f>T$15*B$17</f>
        <v>546250</v>
      </c>
      <c r="U17" s="20">
        <f>U$15*B$17</f>
        <v>558125</v>
      </c>
      <c r="V17" s="20">
        <f>V$15*B$17</f>
        <v>570000</v>
      </c>
      <c r="W17" s="20">
        <f>W$15*B$17</f>
        <v>581875</v>
      </c>
      <c r="X17" s="20">
        <f>X$15*B$17</f>
        <v>593750</v>
      </c>
      <c r="Y17" s="20">
        <f>Y$15*B$17</f>
        <v>605625</v>
      </c>
      <c r="Z17" s="20">
        <f>Z$15*B$17</f>
        <v>494000</v>
      </c>
      <c r="AA17" s="20">
        <f>AA$15*B$17</f>
        <v>503500</v>
      </c>
      <c r="AB17" s="20">
        <f>AB$15*B$17</f>
        <v>513000</v>
      </c>
      <c r="AC17" s="20">
        <f>AC$15*B$17</f>
        <v>522500</v>
      </c>
      <c r="AD17" s="20">
        <f>AD$15*B$17</f>
        <v>532000</v>
      </c>
      <c r="AE17" s="20">
        <f>AE$15*B$17</f>
        <v>541500</v>
      </c>
      <c r="AF17" s="20">
        <f>AF$15*B$17</f>
        <v>551000</v>
      </c>
      <c r="AG17" s="20">
        <f>AG$15*B$17</f>
        <v>560500</v>
      </c>
      <c r="AH17" s="20">
        <f>AH$15*B$17</f>
        <v>570000</v>
      </c>
      <c r="AI17" s="20">
        <f>AI$15*B$17</f>
        <v>579500</v>
      </c>
      <c r="AJ17" s="20">
        <f>AJ$15*B$17</f>
        <v>589000</v>
      </c>
      <c r="AK17" s="20">
        <f>AK$15*B$17</f>
        <v>598500</v>
      </c>
      <c r="AL17" s="20">
        <f>AL$15*B$17</f>
        <v>608000</v>
      </c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</row>
    <row r="18" ht="15.75" customHeight="1">
      <c r="A18" s="23" t="s">
        <v>85</v>
      </c>
      <c r="B18" s="24"/>
      <c r="C18" s="25">
        <f t="shared" ref="C18:H18" si="6">C5/C4</f>
        <v>0.7590361446</v>
      </c>
      <c r="D18" s="25">
        <f t="shared" si="6"/>
        <v>0.7528089888</v>
      </c>
      <c r="E18" s="25">
        <f t="shared" si="6"/>
        <v>0.7281553398</v>
      </c>
      <c r="F18" s="25">
        <f t="shared" si="6"/>
        <v>0.7192982456</v>
      </c>
      <c r="G18" s="25">
        <f t="shared" si="6"/>
        <v>0.7107438017</v>
      </c>
      <c r="H18" s="25">
        <f t="shared" si="6"/>
        <v>0.723880597</v>
      </c>
      <c r="I18" s="25">
        <v>0.74</v>
      </c>
      <c r="J18" s="25">
        <v>0.74</v>
      </c>
      <c r="K18" s="25">
        <v>0.74</v>
      </c>
      <c r="L18" s="25">
        <v>0.75</v>
      </c>
      <c r="M18" s="25">
        <v>0.75</v>
      </c>
      <c r="N18" s="25">
        <v>0.75</v>
      </c>
      <c r="O18" s="25">
        <v>0.75</v>
      </c>
      <c r="P18" s="25">
        <v>0.75</v>
      </c>
      <c r="Q18" s="25">
        <v>0.75</v>
      </c>
      <c r="R18" s="25">
        <v>0.75</v>
      </c>
      <c r="S18" s="25">
        <v>0.75</v>
      </c>
      <c r="T18" s="25">
        <v>0.75</v>
      </c>
      <c r="U18" s="25">
        <v>0.75</v>
      </c>
      <c r="V18" s="25">
        <v>0.75</v>
      </c>
      <c r="W18" s="25">
        <v>0.75</v>
      </c>
      <c r="X18" s="25">
        <v>0.75</v>
      </c>
      <c r="Y18" s="25">
        <v>0.75</v>
      </c>
      <c r="Z18" s="25">
        <v>0.8</v>
      </c>
      <c r="AA18" s="25">
        <v>0.8</v>
      </c>
      <c r="AB18" s="25">
        <v>0.8</v>
      </c>
      <c r="AC18" s="25">
        <v>0.8</v>
      </c>
      <c r="AD18" s="25">
        <v>0.8</v>
      </c>
      <c r="AE18" s="25">
        <v>0.8</v>
      </c>
      <c r="AF18" s="25">
        <v>0.8</v>
      </c>
      <c r="AG18" s="25">
        <v>0.8</v>
      </c>
      <c r="AH18" s="25">
        <v>0.8</v>
      </c>
      <c r="AI18" s="25">
        <v>0.8</v>
      </c>
      <c r="AJ18" s="25">
        <v>0.8</v>
      </c>
      <c r="AK18" s="25">
        <v>0.8</v>
      </c>
      <c r="AL18" s="25">
        <v>0.8</v>
      </c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</row>
    <row r="19" ht="15.75" customHeight="1">
      <c r="A19" s="26" t="s">
        <v>86</v>
      </c>
      <c r="B19" s="24"/>
      <c r="C19" s="25">
        <f t="shared" ref="C19:H19" si="7">C15/C4</f>
        <v>0.2409638554</v>
      </c>
      <c r="D19" s="25">
        <f t="shared" si="7"/>
        <v>0.2471910112</v>
      </c>
      <c r="E19" s="25">
        <f t="shared" si="7"/>
        <v>0.2718446602</v>
      </c>
      <c r="F19" s="25">
        <f t="shared" si="7"/>
        <v>0.2807017544</v>
      </c>
      <c r="G19" s="25">
        <f t="shared" si="7"/>
        <v>0.2892561983</v>
      </c>
      <c r="H19" s="25">
        <f t="shared" si="7"/>
        <v>0.276119403</v>
      </c>
      <c r="I19" s="25">
        <v>0.26</v>
      </c>
      <c r="J19" s="25">
        <v>0.26</v>
      </c>
      <c r="K19" s="25">
        <v>0.26</v>
      </c>
      <c r="L19" s="25">
        <v>0.25</v>
      </c>
      <c r="M19" s="25">
        <v>0.25</v>
      </c>
      <c r="N19" s="25">
        <v>0.25</v>
      </c>
      <c r="O19" s="25">
        <v>0.25</v>
      </c>
      <c r="P19" s="25">
        <v>0.25</v>
      </c>
      <c r="Q19" s="25">
        <v>0.25</v>
      </c>
      <c r="R19" s="25">
        <v>0.25</v>
      </c>
      <c r="S19" s="25">
        <v>0.25</v>
      </c>
      <c r="T19" s="25">
        <v>0.25</v>
      </c>
      <c r="U19" s="25">
        <v>0.25</v>
      </c>
      <c r="V19" s="25">
        <v>0.25</v>
      </c>
      <c r="W19" s="25">
        <v>0.25</v>
      </c>
      <c r="X19" s="25">
        <v>0.25</v>
      </c>
      <c r="Y19" s="25">
        <v>0.25</v>
      </c>
      <c r="Z19" s="25">
        <v>0.2</v>
      </c>
      <c r="AA19" s="25">
        <v>0.2</v>
      </c>
      <c r="AB19" s="25">
        <v>0.2</v>
      </c>
      <c r="AC19" s="25">
        <v>0.2</v>
      </c>
      <c r="AD19" s="25">
        <v>0.2</v>
      </c>
      <c r="AE19" s="25">
        <v>0.2</v>
      </c>
      <c r="AF19" s="25">
        <v>0.2</v>
      </c>
      <c r="AG19" s="25">
        <v>0.2</v>
      </c>
      <c r="AH19" s="25">
        <v>0.2</v>
      </c>
      <c r="AI19" s="25">
        <v>0.2</v>
      </c>
      <c r="AJ19" s="25">
        <v>0.2</v>
      </c>
      <c r="AK19" s="25">
        <v>0.2</v>
      </c>
      <c r="AL19" s="25">
        <v>0.2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</row>
    <row r="20" ht="15.75" customHeight="1">
      <c r="A20" s="27"/>
      <c r="B20" s="28"/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</row>
    <row r="21" ht="15.75" customHeight="1">
      <c r="A21" s="30" t="s">
        <v>87</v>
      </c>
      <c r="B21" s="31"/>
      <c r="C21" s="32">
        <f t="shared" ref="C21:AB21" si="8">SUM(C22:C28)</f>
        <v>-320290</v>
      </c>
      <c r="D21" s="32">
        <f t="shared" si="8"/>
        <v>-343510</v>
      </c>
      <c r="E21" s="32">
        <f t="shared" si="8"/>
        <v>-397850</v>
      </c>
      <c r="F21" s="32">
        <f t="shared" si="8"/>
        <v>-440460</v>
      </c>
      <c r="G21" s="32">
        <f t="shared" si="8"/>
        <v>-464640</v>
      </c>
      <c r="H21" s="32">
        <f t="shared" si="8"/>
        <v>-517660</v>
      </c>
      <c r="I21" s="32">
        <f t="shared" si="8"/>
        <v>-653598</v>
      </c>
      <c r="J21" s="32">
        <f t="shared" si="8"/>
        <v>-732822</v>
      </c>
      <c r="K21" s="32">
        <f t="shared" si="8"/>
        <v>-772434</v>
      </c>
      <c r="L21" s="32">
        <f t="shared" si="8"/>
        <v>-792000</v>
      </c>
      <c r="M21" s="32">
        <f t="shared" si="8"/>
        <v>-792000</v>
      </c>
      <c r="N21" s="32">
        <f t="shared" si="8"/>
        <v>-792000</v>
      </c>
      <c r="O21" s="32">
        <f t="shared" si="8"/>
        <v>-811800</v>
      </c>
      <c r="P21" s="32">
        <f t="shared" si="8"/>
        <v>-831600</v>
      </c>
      <c r="Q21" s="32">
        <f t="shared" si="8"/>
        <v>-851400</v>
      </c>
      <c r="R21" s="32">
        <f t="shared" si="8"/>
        <v>-871200</v>
      </c>
      <c r="S21" s="32">
        <f t="shared" si="8"/>
        <v>-891000</v>
      </c>
      <c r="T21" s="32">
        <f t="shared" si="8"/>
        <v>-910800</v>
      </c>
      <c r="U21" s="32">
        <f t="shared" si="8"/>
        <v>-930600</v>
      </c>
      <c r="V21" s="32">
        <f t="shared" si="8"/>
        <v>-950400</v>
      </c>
      <c r="W21" s="32">
        <f t="shared" si="8"/>
        <v>-970200</v>
      </c>
      <c r="X21" s="32">
        <f t="shared" si="8"/>
        <v>-990000</v>
      </c>
      <c r="Y21" s="32">
        <f t="shared" si="8"/>
        <v>-1009800</v>
      </c>
      <c r="Z21" s="32">
        <f t="shared" si="8"/>
        <v>-1028040</v>
      </c>
      <c r="AA21" s="32">
        <f t="shared" si="8"/>
        <v>-1047810</v>
      </c>
      <c r="AB21" s="32">
        <f t="shared" si="8"/>
        <v>-1067580</v>
      </c>
      <c r="AC21" s="32"/>
      <c r="AD21" s="32">
        <f t="shared" ref="AD21:AL21" si="9">SUM(AD22:AD28)</f>
        <v>-1107120</v>
      </c>
      <c r="AE21" s="32">
        <f t="shared" si="9"/>
        <v>-1126890</v>
      </c>
      <c r="AF21" s="32">
        <f t="shared" si="9"/>
        <v>-1146660</v>
      </c>
      <c r="AG21" s="32">
        <f t="shared" si="9"/>
        <v>-1166430</v>
      </c>
      <c r="AH21" s="32">
        <f t="shared" si="9"/>
        <v>-1186200</v>
      </c>
      <c r="AI21" s="32">
        <f t="shared" si="9"/>
        <v>-1205970</v>
      </c>
      <c r="AJ21" s="32">
        <f t="shared" si="9"/>
        <v>-1225740</v>
      </c>
      <c r="AK21" s="32">
        <f t="shared" si="9"/>
        <v>-1245510</v>
      </c>
      <c r="AL21" s="32">
        <f t="shared" si="9"/>
        <v>-1265280</v>
      </c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</row>
    <row r="22" ht="15.75" customHeight="1">
      <c r="A22" s="33" t="s">
        <v>88</v>
      </c>
      <c r="B22" s="34" t="s">
        <v>89</v>
      </c>
      <c r="C22" s="20">
        <f t="shared" ref="C22:H22" si="10">-5%*C$4</f>
        <v>-41500</v>
      </c>
      <c r="D22" s="20">
        <f t="shared" si="10"/>
        <v>-44500</v>
      </c>
      <c r="E22" s="20">
        <f t="shared" si="10"/>
        <v>-51500</v>
      </c>
      <c r="F22" s="20">
        <f t="shared" si="10"/>
        <v>-57000</v>
      </c>
      <c r="G22" s="20">
        <f t="shared" si="10"/>
        <v>-60500</v>
      </c>
      <c r="H22" s="20">
        <f t="shared" si="10"/>
        <v>-67000</v>
      </c>
      <c r="I22" s="20">
        <f t="shared" ref="I22:AL22" si="11">-6%*I$4</f>
        <v>-99000</v>
      </c>
      <c r="J22" s="20">
        <f t="shared" si="11"/>
        <v>-111000</v>
      </c>
      <c r="K22" s="20">
        <f t="shared" si="11"/>
        <v>-117000</v>
      </c>
      <c r="L22" s="20">
        <f t="shared" si="11"/>
        <v>-120000</v>
      </c>
      <c r="M22" s="20">
        <f t="shared" si="11"/>
        <v>-120000</v>
      </c>
      <c r="N22" s="20">
        <f t="shared" si="11"/>
        <v>-120000</v>
      </c>
      <c r="O22" s="20">
        <f t="shared" si="11"/>
        <v>-123000</v>
      </c>
      <c r="P22" s="20">
        <f t="shared" si="11"/>
        <v>-126000</v>
      </c>
      <c r="Q22" s="20">
        <f t="shared" si="11"/>
        <v>-129000</v>
      </c>
      <c r="R22" s="20">
        <f t="shared" si="11"/>
        <v>-132000</v>
      </c>
      <c r="S22" s="20">
        <f t="shared" si="11"/>
        <v>-135000</v>
      </c>
      <c r="T22" s="20">
        <f t="shared" si="11"/>
        <v>-138000</v>
      </c>
      <c r="U22" s="20">
        <f t="shared" si="11"/>
        <v>-141000</v>
      </c>
      <c r="V22" s="20">
        <f t="shared" si="11"/>
        <v>-144000</v>
      </c>
      <c r="W22" s="20">
        <f t="shared" si="11"/>
        <v>-147000</v>
      </c>
      <c r="X22" s="20">
        <f t="shared" si="11"/>
        <v>-150000</v>
      </c>
      <c r="Y22" s="20">
        <f t="shared" si="11"/>
        <v>-153000</v>
      </c>
      <c r="Z22" s="20">
        <f t="shared" si="11"/>
        <v>-156000</v>
      </c>
      <c r="AA22" s="20">
        <f t="shared" si="11"/>
        <v>-159000</v>
      </c>
      <c r="AB22" s="20">
        <f t="shared" si="11"/>
        <v>-162000</v>
      </c>
      <c r="AC22" s="20">
        <f t="shared" si="11"/>
        <v>-165000</v>
      </c>
      <c r="AD22" s="20">
        <f t="shared" si="11"/>
        <v>-168000</v>
      </c>
      <c r="AE22" s="20">
        <f t="shared" si="11"/>
        <v>-171000</v>
      </c>
      <c r="AF22" s="20">
        <f t="shared" si="11"/>
        <v>-174000</v>
      </c>
      <c r="AG22" s="20">
        <f t="shared" si="11"/>
        <v>-177000</v>
      </c>
      <c r="AH22" s="20">
        <f t="shared" si="11"/>
        <v>-180000</v>
      </c>
      <c r="AI22" s="20">
        <f t="shared" si="11"/>
        <v>-183000</v>
      </c>
      <c r="AJ22" s="20">
        <f t="shared" si="11"/>
        <v>-186000</v>
      </c>
      <c r="AK22" s="20">
        <f t="shared" si="11"/>
        <v>-189000</v>
      </c>
      <c r="AL22" s="20">
        <f t="shared" si="11"/>
        <v>-192000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</row>
    <row r="23" ht="15.75" customHeight="1">
      <c r="A23" s="33" t="s">
        <v>90</v>
      </c>
      <c r="B23" s="35">
        <v>0.258</v>
      </c>
      <c r="C23" s="20">
        <f>-B$23*C$4</f>
        <v>-214140</v>
      </c>
      <c r="D23" s="20">
        <f>-B$23*D$4</f>
        <v>-229620</v>
      </c>
      <c r="E23" s="20">
        <f>-B$23*E$4</f>
        <v>-265740</v>
      </c>
      <c r="F23" s="20">
        <f>-B$23*F$4</f>
        <v>-294120</v>
      </c>
      <c r="G23" s="20">
        <f>-B$23*G$4</f>
        <v>-312180</v>
      </c>
      <c r="H23" s="20">
        <f>-B$23*H$4</f>
        <v>-345720</v>
      </c>
      <c r="I23" s="20">
        <f>-B$23*I$4</f>
        <v>-425700</v>
      </c>
      <c r="J23" s="20">
        <f>-B$23*J$4</f>
        <v>-477300</v>
      </c>
      <c r="K23" s="20">
        <f>-B$23*K$4</f>
        <v>-503100</v>
      </c>
      <c r="L23" s="20">
        <f>-B$23*L$4</f>
        <v>-516000</v>
      </c>
      <c r="M23" s="20">
        <f>-B$23*M$4</f>
        <v>-516000</v>
      </c>
      <c r="N23" s="20">
        <f>-B$23*N$4</f>
        <v>-516000</v>
      </c>
      <c r="O23" s="20">
        <f>-B$23*O$4</f>
        <v>-528900</v>
      </c>
      <c r="P23" s="20">
        <f>-B$23*P$4</f>
        <v>-541800</v>
      </c>
      <c r="Q23" s="20">
        <f>-B$23*Q$4</f>
        <v>-554700</v>
      </c>
      <c r="R23" s="20">
        <f>-B$23*R$4</f>
        <v>-567600</v>
      </c>
      <c r="S23" s="20">
        <f>-B$23*S$4</f>
        <v>-580500</v>
      </c>
      <c r="T23" s="20">
        <f>-B$23*T$4</f>
        <v>-593400</v>
      </c>
      <c r="U23" s="20">
        <f>-B$23*U$4</f>
        <v>-606300</v>
      </c>
      <c r="V23" s="20">
        <f>-B$23*V$4</f>
        <v>-619200</v>
      </c>
      <c r="W23" s="20">
        <f>-B$23*W$4</f>
        <v>-632100</v>
      </c>
      <c r="X23" s="20">
        <f>-B$23*X$4</f>
        <v>-645000</v>
      </c>
      <c r="Y23" s="20">
        <f>-B$23*Y$4</f>
        <v>-657900</v>
      </c>
      <c r="Z23" s="20">
        <f>-B$23*Z$4</f>
        <v>-670800</v>
      </c>
      <c r="AA23" s="20">
        <f>-B$23*AA$4</f>
        <v>-683700</v>
      </c>
      <c r="AB23" s="20">
        <f>-B$23*AB$4</f>
        <v>-696600</v>
      </c>
      <c r="AC23" s="20">
        <f>-B$23*AC$4</f>
        <v>-709500</v>
      </c>
      <c r="AD23" s="20">
        <f>-B$23*AD$4</f>
        <v>-722400</v>
      </c>
      <c r="AE23" s="20">
        <f>-B$23*AE$4</f>
        <v>-735300</v>
      </c>
      <c r="AF23" s="20">
        <f>-B$23*AF$4</f>
        <v>-748200</v>
      </c>
      <c r="AG23" s="20">
        <f>-B$23*AG$4</f>
        <v>-761100</v>
      </c>
      <c r="AH23" s="20">
        <f>-B$23*AH$4</f>
        <v>-774000</v>
      </c>
      <c r="AI23" s="20">
        <f>-B$23*AI$4</f>
        <v>-786900</v>
      </c>
      <c r="AJ23" s="20">
        <f>-B$23*AJ$4</f>
        <v>-799800</v>
      </c>
      <c r="AK23" s="20">
        <f>-B$23*AK$4</f>
        <v>-812700</v>
      </c>
      <c r="AL23" s="20">
        <f>-B$23*AL$4</f>
        <v>-825600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</row>
    <row r="24" ht="15.75" customHeight="1">
      <c r="A24" s="33" t="s">
        <v>91</v>
      </c>
      <c r="B24" s="35">
        <v>0.055</v>
      </c>
      <c r="C24" s="20">
        <f>-B$24*C$4</f>
        <v>-45650</v>
      </c>
      <c r="D24" s="20">
        <f>-B$24*D$4</f>
        <v>-48950</v>
      </c>
      <c r="E24" s="20">
        <f>-B$24*E$4</f>
        <v>-56650</v>
      </c>
      <c r="F24" s="20">
        <f>-B$24*F$4</f>
        <v>-62700</v>
      </c>
      <c r="G24" s="20">
        <f>-B$24*G$4</f>
        <v>-66550</v>
      </c>
      <c r="H24" s="20">
        <f>-B$24*H$4</f>
        <v>-73700</v>
      </c>
      <c r="I24" s="20">
        <f>-B$24*I$4</f>
        <v>-90750</v>
      </c>
      <c r="J24" s="20">
        <f>-B$24*J$4</f>
        <v>-101750</v>
      </c>
      <c r="K24" s="20">
        <f>-B$24*K$4</f>
        <v>-107250</v>
      </c>
      <c r="L24" s="20">
        <f>-B$24*L$4</f>
        <v>-110000</v>
      </c>
      <c r="M24" s="20">
        <f>-B$24*M$4</f>
        <v>-110000</v>
      </c>
      <c r="N24" s="20">
        <f>-B$24*N$4</f>
        <v>-110000</v>
      </c>
      <c r="O24" s="20">
        <f>-B$24*O$4</f>
        <v>-112750</v>
      </c>
      <c r="P24" s="20">
        <f>-B$24*P$4</f>
        <v>-115500</v>
      </c>
      <c r="Q24" s="20">
        <f>-B$24*Q$4</f>
        <v>-118250</v>
      </c>
      <c r="R24" s="20">
        <f>-B$24*R$4</f>
        <v>-121000</v>
      </c>
      <c r="S24" s="20">
        <f>-B$24*S$4</f>
        <v>-123750</v>
      </c>
      <c r="T24" s="20">
        <f>-B$24*T$4</f>
        <v>-126500</v>
      </c>
      <c r="U24" s="20">
        <f>-B$24*U$4</f>
        <v>-129250</v>
      </c>
      <c r="V24" s="20">
        <f>-B$24*V$4</f>
        <v>-132000</v>
      </c>
      <c r="W24" s="20">
        <f>-B$24*W$4</f>
        <v>-134750</v>
      </c>
      <c r="X24" s="20">
        <f>-B$24*X$4</f>
        <v>-137500</v>
      </c>
      <c r="Y24" s="20">
        <f>-B$24*Y$4</f>
        <v>-140250</v>
      </c>
      <c r="Z24" s="20">
        <f>-B$24*Z$4</f>
        <v>-143000</v>
      </c>
      <c r="AA24" s="20">
        <f>-B$24*AA$4</f>
        <v>-145750</v>
      </c>
      <c r="AB24" s="20">
        <f>-B$24*AB$4</f>
        <v>-148500</v>
      </c>
      <c r="AC24" s="20">
        <f>-B$24*AC$4</f>
        <v>-151250</v>
      </c>
      <c r="AD24" s="20">
        <f>-B$24*AD$4</f>
        <v>-154000</v>
      </c>
      <c r="AE24" s="20">
        <f>-B$24*AE$4</f>
        <v>-156750</v>
      </c>
      <c r="AF24" s="20">
        <f>-B$24*AF$4</f>
        <v>-159500</v>
      </c>
      <c r="AG24" s="20">
        <f>-B$24*AG$4</f>
        <v>-162250</v>
      </c>
      <c r="AH24" s="20">
        <f>-B$24*AH$4</f>
        <v>-165000</v>
      </c>
      <c r="AI24" s="20">
        <f>-B$24*AI$4</f>
        <v>-167750</v>
      </c>
      <c r="AJ24" s="20">
        <f>-B$24*AJ$4</f>
        <v>-170500</v>
      </c>
      <c r="AK24" s="20">
        <f>-B$24*AK$4</f>
        <v>-173250</v>
      </c>
      <c r="AL24" s="20">
        <f>-B$24*AL$4</f>
        <v>-176000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</row>
    <row r="25" ht="15.75" customHeight="1">
      <c r="A25" s="33" t="s">
        <v>92</v>
      </c>
      <c r="B25" s="36">
        <v>0.003</v>
      </c>
      <c r="C25" s="20">
        <f>-B$25*C$4</f>
        <v>-2490</v>
      </c>
      <c r="D25" s="20">
        <f>-B$25*D$4</f>
        <v>-2670</v>
      </c>
      <c r="E25" s="20">
        <f>-B$25*E$4</f>
        <v>-3090</v>
      </c>
      <c r="F25" s="20">
        <f>-B$25*F$4</f>
        <v>-3420</v>
      </c>
      <c r="G25" s="20">
        <f>-B$25*G$4</f>
        <v>-3630</v>
      </c>
      <c r="H25" s="20">
        <f>-B$25*H$4</f>
        <v>-4020</v>
      </c>
      <c r="I25" s="20">
        <f>-B$25*I$4</f>
        <v>-4950</v>
      </c>
      <c r="J25" s="20">
        <f>-B$25*J$4</f>
        <v>-5550</v>
      </c>
      <c r="K25" s="20">
        <f>-B$25*K$4</f>
        <v>-5850</v>
      </c>
      <c r="L25" s="20">
        <f>-B$25*L$4</f>
        <v>-6000</v>
      </c>
      <c r="M25" s="20">
        <f>-B$25*M$4</f>
        <v>-6000</v>
      </c>
      <c r="N25" s="20">
        <f>-B$25*N$4</f>
        <v>-6000</v>
      </c>
      <c r="O25" s="20">
        <f>-B$25*O$4</f>
        <v>-6150</v>
      </c>
      <c r="P25" s="20">
        <f>-B$25*P$4</f>
        <v>-6300</v>
      </c>
      <c r="Q25" s="20">
        <f>-B$25*Q$4</f>
        <v>-6450</v>
      </c>
      <c r="R25" s="20">
        <f>-B$25*R$4</f>
        <v>-6600</v>
      </c>
      <c r="S25" s="20">
        <f>-B$25*S$4</f>
        <v>-6750</v>
      </c>
      <c r="T25" s="20">
        <f>-B$25*T$4</f>
        <v>-6900</v>
      </c>
      <c r="U25" s="20">
        <f>-B$25*U$4</f>
        <v>-7050</v>
      </c>
      <c r="V25" s="20">
        <f>-B$25*V$4</f>
        <v>-7200</v>
      </c>
      <c r="W25" s="20">
        <f>-B$25*W$4</f>
        <v>-7350</v>
      </c>
      <c r="X25" s="20">
        <f>-B$25*X$4</f>
        <v>-7500</v>
      </c>
      <c r="Y25" s="20">
        <f>-B$25*Y$4</f>
        <v>-7650</v>
      </c>
      <c r="Z25" s="20">
        <f>-B$25*Z$4</f>
        <v>-7800</v>
      </c>
      <c r="AA25" s="20">
        <f>-B$25*AA$4</f>
        <v>-7950</v>
      </c>
      <c r="AB25" s="20">
        <f>-B$25*AB$4</f>
        <v>-8100</v>
      </c>
      <c r="AC25" s="20">
        <f>-B$25*AC$4</f>
        <v>-8250</v>
      </c>
      <c r="AD25" s="20">
        <f>-B$25*AD$4</f>
        <v>-8400</v>
      </c>
      <c r="AE25" s="20">
        <f>-B$25*AE$4</f>
        <v>-8550</v>
      </c>
      <c r="AF25" s="20">
        <f>-B$25*AF$4</f>
        <v>-8700</v>
      </c>
      <c r="AG25" s="20">
        <f>-B$25*AG$4</f>
        <v>-8850</v>
      </c>
      <c r="AH25" s="20">
        <f>-B$25*AH$4</f>
        <v>-9000</v>
      </c>
      <c r="AI25" s="20">
        <f>-B$25*AI$4</f>
        <v>-9150</v>
      </c>
      <c r="AJ25" s="20">
        <f>-B$25*AJ$4</f>
        <v>-9300</v>
      </c>
      <c r="AK25" s="20">
        <f>-B$25*AK$4</f>
        <v>-9450</v>
      </c>
      <c r="AL25" s="20">
        <f>-B$25*AL$4</f>
        <v>-9600</v>
      </c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</row>
    <row r="26" ht="15.75" customHeight="1">
      <c r="A26" s="33" t="s">
        <v>93</v>
      </c>
      <c r="B26" s="35">
        <v>0.004</v>
      </c>
      <c r="C26" s="20">
        <f>-B$26*C$4</f>
        <v>-3320</v>
      </c>
      <c r="D26" s="20">
        <f>-B$26*D$4</f>
        <v>-3560</v>
      </c>
      <c r="E26" s="20">
        <f>-B$26*E$4</f>
        <v>-4120</v>
      </c>
      <c r="F26" s="20">
        <f>-B$26*F$4</f>
        <v>-4560</v>
      </c>
      <c r="G26" s="20">
        <f>-B$26*G$4</f>
        <v>-4840</v>
      </c>
      <c r="H26" s="20">
        <f>-B$26*H$4</f>
        <v>-5360</v>
      </c>
      <c r="I26" s="20">
        <f>-B$26*I$4</f>
        <v>-6600</v>
      </c>
      <c r="J26" s="20">
        <f>-B$26*J$4</f>
        <v>-7400</v>
      </c>
      <c r="K26" s="20">
        <f>-B$26*K$4</f>
        <v>-7800</v>
      </c>
      <c r="L26" s="20">
        <f>-B$26*L$4</f>
        <v>-8000</v>
      </c>
      <c r="M26" s="20">
        <f>-B$26*M$4</f>
        <v>-8000</v>
      </c>
      <c r="N26" s="20">
        <f>-B$26*N$4</f>
        <v>-8000</v>
      </c>
      <c r="O26" s="20">
        <f>-B$26*O$4</f>
        <v>-8200</v>
      </c>
      <c r="P26" s="20">
        <f>-B$26*P$4</f>
        <v>-8400</v>
      </c>
      <c r="Q26" s="20">
        <f>-B$26*Q$4</f>
        <v>-8600</v>
      </c>
      <c r="R26" s="20">
        <f>-B$26*R$4</f>
        <v>-8800</v>
      </c>
      <c r="S26" s="20">
        <f>-B$26*S$4</f>
        <v>-9000</v>
      </c>
      <c r="T26" s="20">
        <f>-B$26*T$4</f>
        <v>-9200</v>
      </c>
      <c r="U26" s="20">
        <f>-B$26*U$4</f>
        <v>-9400</v>
      </c>
      <c r="V26" s="20">
        <f>-B$26*V$4</f>
        <v>-9600</v>
      </c>
      <c r="W26" s="20">
        <f>-B$26*W$4</f>
        <v>-9800</v>
      </c>
      <c r="X26" s="20">
        <f>-B$26*X$4</f>
        <v>-10000</v>
      </c>
      <c r="Y26" s="20">
        <f>-B$26*Y$4</f>
        <v>-10200</v>
      </c>
      <c r="Z26" s="20">
        <f>-B$26*Z$4</f>
        <v>-10400</v>
      </c>
      <c r="AA26" s="20">
        <f>-B$26*AA$4</f>
        <v>-10600</v>
      </c>
      <c r="AB26" s="20">
        <f>-B$26*AB$4</f>
        <v>-10800</v>
      </c>
      <c r="AC26" s="20">
        <f>-B$26*AC$4</f>
        <v>-11000</v>
      </c>
      <c r="AD26" s="20">
        <f>-B$26*AD$4</f>
        <v>-11200</v>
      </c>
      <c r="AE26" s="20">
        <f>-B$26*AE$4</f>
        <v>-11400</v>
      </c>
      <c r="AF26" s="20">
        <f>-B$26*AF$4</f>
        <v>-11600</v>
      </c>
      <c r="AG26" s="20">
        <f>-B$26*AG$4</f>
        <v>-11800</v>
      </c>
      <c r="AH26" s="20">
        <f>-B$26*AH$4</f>
        <v>-12000</v>
      </c>
      <c r="AI26" s="20">
        <f>-B$26*AI$4</f>
        <v>-12200</v>
      </c>
      <c r="AJ26" s="20">
        <f>-B$26*AJ$4</f>
        <v>-12400</v>
      </c>
      <c r="AK26" s="20">
        <f>-B$26*AK$4</f>
        <v>-12600</v>
      </c>
      <c r="AL26" s="20">
        <f>-B$26*AL$4</f>
        <v>-12800</v>
      </c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</row>
    <row r="27" ht="15.75" customHeight="1">
      <c r="A27" s="33" t="s">
        <v>94</v>
      </c>
      <c r="B27" s="35">
        <v>0.013</v>
      </c>
      <c r="C27" s="20">
        <f>-$B$27*$C$5</f>
        <v>-8190</v>
      </c>
      <c r="D27" s="20">
        <f t="shared" ref="D27:F27" si="12">-$B$27*D5</f>
        <v>-8710</v>
      </c>
      <c r="E27" s="20">
        <f t="shared" si="12"/>
        <v>-9750</v>
      </c>
      <c r="F27" s="20">
        <f t="shared" si="12"/>
        <v>-10660</v>
      </c>
      <c r="G27" s="20">
        <f>-$B$27*$C$5</f>
        <v>-8190</v>
      </c>
      <c r="H27" s="20">
        <f t="shared" ref="H27:AL27" si="13">-$B$27*H5</f>
        <v>-12610</v>
      </c>
      <c r="I27" s="20">
        <f t="shared" si="13"/>
        <v>-15873</v>
      </c>
      <c r="J27" s="20">
        <f t="shared" si="13"/>
        <v>-17797</v>
      </c>
      <c r="K27" s="20">
        <f t="shared" si="13"/>
        <v>-18759</v>
      </c>
      <c r="L27" s="20">
        <f t="shared" si="13"/>
        <v>-19500</v>
      </c>
      <c r="M27" s="20">
        <f t="shared" si="13"/>
        <v>-19500</v>
      </c>
      <c r="N27" s="20">
        <f t="shared" si="13"/>
        <v>-19500</v>
      </c>
      <c r="O27" s="20">
        <f t="shared" si="13"/>
        <v>-19987.5</v>
      </c>
      <c r="P27" s="20">
        <f t="shared" si="13"/>
        <v>-20475</v>
      </c>
      <c r="Q27" s="20">
        <f t="shared" si="13"/>
        <v>-20962.5</v>
      </c>
      <c r="R27" s="20">
        <f t="shared" si="13"/>
        <v>-21450</v>
      </c>
      <c r="S27" s="20">
        <f t="shared" si="13"/>
        <v>-21937.5</v>
      </c>
      <c r="T27" s="20">
        <f t="shared" si="13"/>
        <v>-22425</v>
      </c>
      <c r="U27" s="20">
        <f t="shared" si="13"/>
        <v>-22912.5</v>
      </c>
      <c r="V27" s="20">
        <f t="shared" si="13"/>
        <v>-23400</v>
      </c>
      <c r="W27" s="20">
        <f t="shared" si="13"/>
        <v>-23887.5</v>
      </c>
      <c r="X27" s="20">
        <f t="shared" si="13"/>
        <v>-24375</v>
      </c>
      <c r="Y27" s="20">
        <f t="shared" si="13"/>
        <v>-24862.5</v>
      </c>
      <c r="Z27" s="20">
        <f t="shared" si="13"/>
        <v>-27040</v>
      </c>
      <c r="AA27" s="20">
        <f t="shared" si="13"/>
        <v>-27560</v>
      </c>
      <c r="AB27" s="20">
        <f t="shared" si="13"/>
        <v>-28080</v>
      </c>
      <c r="AC27" s="20">
        <f t="shared" si="13"/>
        <v>-28600</v>
      </c>
      <c r="AD27" s="20">
        <f t="shared" si="13"/>
        <v>-29120</v>
      </c>
      <c r="AE27" s="20">
        <f t="shared" si="13"/>
        <v>-29640</v>
      </c>
      <c r="AF27" s="20">
        <f t="shared" si="13"/>
        <v>-30160</v>
      </c>
      <c r="AG27" s="20">
        <f t="shared" si="13"/>
        <v>-30680</v>
      </c>
      <c r="AH27" s="20">
        <f t="shared" si="13"/>
        <v>-31200</v>
      </c>
      <c r="AI27" s="20">
        <f t="shared" si="13"/>
        <v>-31720</v>
      </c>
      <c r="AJ27" s="20">
        <f t="shared" si="13"/>
        <v>-32240</v>
      </c>
      <c r="AK27" s="20">
        <f t="shared" si="13"/>
        <v>-32760</v>
      </c>
      <c r="AL27" s="20">
        <f t="shared" si="13"/>
        <v>-33280</v>
      </c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</row>
    <row r="28" ht="15.75" customHeight="1">
      <c r="A28" s="37" t="s">
        <v>95</v>
      </c>
      <c r="B28" s="35">
        <v>0.025</v>
      </c>
      <c r="C28" s="20">
        <f t="shared" ref="C28:AL28" si="14">-$B$28*C15</f>
        <v>-5000</v>
      </c>
      <c r="D28" s="20">
        <f t="shared" si="14"/>
        <v>-5500</v>
      </c>
      <c r="E28" s="20">
        <f t="shared" si="14"/>
        <v>-7000</v>
      </c>
      <c r="F28" s="20">
        <f t="shared" si="14"/>
        <v>-8000</v>
      </c>
      <c r="G28" s="20">
        <f t="shared" si="14"/>
        <v>-8750</v>
      </c>
      <c r="H28" s="20">
        <f t="shared" si="14"/>
        <v>-9250</v>
      </c>
      <c r="I28" s="20">
        <f t="shared" si="14"/>
        <v>-10725</v>
      </c>
      <c r="J28" s="20">
        <f t="shared" si="14"/>
        <v>-12025</v>
      </c>
      <c r="K28" s="20">
        <f t="shared" si="14"/>
        <v>-12675</v>
      </c>
      <c r="L28" s="20">
        <f t="shared" si="14"/>
        <v>-12500</v>
      </c>
      <c r="M28" s="20">
        <f t="shared" si="14"/>
        <v>-12500</v>
      </c>
      <c r="N28" s="20">
        <f t="shared" si="14"/>
        <v>-12500</v>
      </c>
      <c r="O28" s="20">
        <f t="shared" si="14"/>
        <v>-12812.5</v>
      </c>
      <c r="P28" s="20">
        <f t="shared" si="14"/>
        <v>-13125</v>
      </c>
      <c r="Q28" s="20">
        <f t="shared" si="14"/>
        <v>-13437.5</v>
      </c>
      <c r="R28" s="20">
        <f t="shared" si="14"/>
        <v>-13750</v>
      </c>
      <c r="S28" s="20">
        <f t="shared" si="14"/>
        <v>-14062.5</v>
      </c>
      <c r="T28" s="20">
        <f t="shared" si="14"/>
        <v>-14375</v>
      </c>
      <c r="U28" s="20">
        <f t="shared" si="14"/>
        <v>-14687.5</v>
      </c>
      <c r="V28" s="20">
        <f t="shared" si="14"/>
        <v>-15000</v>
      </c>
      <c r="W28" s="20">
        <f t="shared" si="14"/>
        <v>-15312.5</v>
      </c>
      <c r="X28" s="20">
        <f t="shared" si="14"/>
        <v>-15625</v>
      </c>
      <c r="Y28" s="20">
        <f t="shared" si="14"/>
        <v>-15937.5</v>
      </c>
      <c r="Z28" s="20">
        <f t="shared" si="14"/>
        <v>-13000</v>
      </c>
      <c r="AA28" s="20">
        <f t="shared" si="14"/>
        <v>-13250</v>
      </c>
      <c r="AB28" s="20">
        <f t="shared" si="14"/>
        <v>-13500</v>
      </c>
      <c r="AC28" s="20">
        <f t="shared" si="14"/>
        <v>-13750</v>
      </c>
      <c r="AD28" s="20">
        <f t="shared" si="14"/>
        <v>-14000</v>
      </c>
      <c r="AE28" s="20">
        <f t="shared" si="14"/>
        <v>-14250</v>
      </c>
      <c r="AF28" s="20">
        <f t="shared" si="14"/>
        <v>-14500</v>
      </c>
      <c r="AG28" s="20">
        <f t="shared" si="14"/>
        <v>-14750</v>
      </c>
      <c r="AH28" s="20">
        <f t="shared" si="14"/>
        <v>-15000</v>
      </c>
      <c r="AI28" s="20">
        <f t="shared" si="14"/>
        <v>-15250</v>
      </c>
      <c r="AJ28" s="20">
        <f t="shared" si="14"/>
        <v>-15500</v>
      </c>
      <c r="AK28" s="20">
        <f t="shared" si="14"/>
        <v>-15750</v>
      </c>
      <c r="AL28" s="20">
        <f t="shared" si="14"/>
        <v>-16000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</row>
    <row r="29" ht="15.75" customHeight="1">
      <c r="A29" s="30" t="s">
        <v>96</v>
      </c>
      <c r="B29" s="31"/>
      <c r="C29" s="38">
        <f t="shared" ref="C29:AL29" si="15">SUM(C30,C33,C36)</f>
        <v>-523555</v>
      </c>
      <c r="D29" s="38">
        <f t="shared" si="15"/>
        <v>-527065</v>
      </c>
      <c r="E29" s="38">
        <f t="shared" si="15"/>
        <v>-545255</v>
      </c>
      <c r="F29" s="38">
        <f t="shared" si="15"/>
        <v>-551690</v>
      </c>
      <c r="G29" s="38">
        <f t="shared" si="15"/>
        <v>-559385</v>
      </c>
      <c r="H29" s="38">
        <f t="shared" si="15"/>
        <v>-584990</v>
      </c>
      <c r="I29" s="38">
        <f t="shared" si="15"/>
        <v>-644025</v>
      </c>
      <c r="J29" s="38">
        <f t="shared" si="15"/>
        <v>-705725</v>
      </c>
      <c r="K29" s="38">
        <f t="shared" si="15"/>
        <v>-736575</v>
      </c>
      <c r="L29" s="38">
        <f t="shared" si="15"/>
        <v>-752000</v>
      </c>
      <c r="M29" s="38">
        <f t="shared" si="15"/>
        <v>-752000</v>
      </c>
      <c r="N29" s="38">
        <f t="shared" si="15"/>
        <v>-752000</v>
      </c>
      <c r="O29" s="38">
        <f t="shared" si="15"/>
        <v>-777425</v>
      </c>
      <c r="P29" s="38">
        <f t="shared" si="15"/>
        <v>-792850</v>
      </c>
      <c r="Q29" s="38">
        <f t="shared" si="15"/>
        <v>-808275</v>
      </c>
      <c r="R29" s="38">
        <f t="shared" si="15"/>
        <v>-823700</v>
      </c>
      <c r="S29" s="38">
        <f t="shared" si="15"/>
        <v>-839125</v>
      </c>
      <c r="T29" s="38">
        <f t="shared" si="15"/>
        <v>-854550</v>
      </c>
      <c r="U29" s="38">
        <f t="shared" si="15"/>
        <v>-869975</v>
      </c>
      <c r="V29" s="38">
        <f t="shared" si="15"/>
        <v>-885400</v>
      </c>
      <c r="W29" s="38">
        <f t="shared" si="15"/>
        <v>-900825</v>
      </c>
      <c r="X29" s="38">
        <f t="shared" si="15"/>
        <v>-916250</v>
      </c>
      <c r="Y29" s="38">
        <f t="shared" si="15"/>
        <v>-931675</v>
      </c>
      <c r="Z29" s="38">
        <f t="shared" si="15"/>
        <v>-912100</v>
      </c>
      <c r="AA29" s="38">
        <f t="shared" si="15"/>
        <v>-932525</v>
      </c>
      <c r="AB29" s="38">
        <f t="shared" si="15"/>
        <v>-947950</v>
      </c>
      <c r="AC29" s="38">
        <f t="shared" si="15"/>
        <v>-963375</v>
      </c>
      <c r="AD29" s="38">
        <f t="shared" si="15"/>
        <v>-978800</v>
      </c>
      <c r="AE29" s="38">
        <f t="shared" si="15"/>
        <v>-994225</v>
      </c>
      <c r="AF29" s="38">
        <f t="shared" si="15"/>
        <v>-1009650</v>
      </c>
      <c r="AG29" s="38">
        <f t="shared" si="15"/>
        <v>-1025075</v>
      </c>
      <c r="AH29" s="38">
        <f t="shared" si="15"/>
        <v>-1040500</v>
      </c>
      <c r="AI29" s="38">
        <f t="shared" si="15"/>
        <v>-1055925</v>
      </c>
      <c r="AJ29" s="38">
        <f t="shared" si="15"/>
        <v>-1071350</v>
      </c>
      <c r="AK29" s="38">
        <f t="shared" si="15"/>
        <v>-1086775</v>
      </c>
      <c r="AL29" s="38">
        <f t="shared" si="15"/>
        <v>-1102200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</row>
    <row r="30" ht="15.75" customHeight="1">
      <c r="A30" s="30" t="s">
        <v>97</v>
      </c>
      <c r="B30" s="31"/>
      <c r="C30" s="38">
        <f t="shared" ref="C30:AL30" si="16">SUM(C31:C32)</f>
        <v>-130000</v>
      </c>
      <c r="D30" s="38">
        <f t="shared" si="16"/>
        <v>-130000</v>
      </c>
      <c r="E30" s="38">
        <f t="shared" si="16"/>
        <v>-130000</v>
      </c>
      <c r="F30" s="38">
        <f t="shared" si="16"/>
        <v>-130000</v>
      </c>
      <c r="G30" s="38">
        <f t="shared" si="16"/>
        <v>-130000</v>
      </c>
      <c r="H30" s="38">
        <f t="shared" si="16"/>
        <v>-130000</v>
      </c>
      <c r="I30" s="38">
        <f t="shared" si="16"/>
        <v>-130000</v>
      </c>
      <c r="J30" s="38">
        <f t="shared" si="16"/>
        <v>-130000</v>
      </c>
      <c r="K30" s="38">
        <f t="shared" si="16"/>
        <v>-130000</v>
      </c>
      <c r="L30" s="38">
        <f t="shared" si="16"/>
        <v>-130000</v>
      </c>
      <c r="M30" s="38">
        <f t="shared" si="16"/>
        <v>-130000</v>
      </c>
      <c r="N30" s="38">
        <f t="shared" si="16"/>
        <v>-130000</v>
      </c>
      <c r="O30" s="38">
        <f t="shared" si="16"/>
        <v>-140000</v>
      </c>
      <c r="P30" s="38">
        <f t="shared" si="16"/>
        <v>-140000</v>
      </c>
      <c r="Q30" s="38">
        <f t="shared" si="16"/>
        <v>-140000</v>
      </c>
      <c r="R30" s="38">
        <f t="shared" si="16"/>
        <v>-140000</v>
      </c>
      <c r="S30" s="38">
        <f t="shared" si="16"/>
        <v>-140000</v>
      </c>
      <c r="T30" s="38">
        <f t="shared" si="16"/>
        <v>-140000</v>
      </c>
      <c r="U30" s="38">
        <f t="shared" si="16"/>
        <v>-140000</v>
      </c>
      <c r="V30" s="38">
        <f t="shared" si="16"/>
        <v>-140000</v>
      </c>
      <c r="W30" s="38">
        <f t="shared" si="16"/>
        <v>-140000</v>
      </c>
      <c r="X30" s="38">
        <f t="shared" si="16"/>
        <v>-140000</v>
      </c>
      <c r="Y30" s="38">
        <f t="shared" si="16"/>
        <v>-140000</v>
      </c>
      <c r="Z30" s="38">
        <f t="shared" si="16"/>
        <v>-105000</v>
      </c>
      <c r="AA30" s="38">
        <f t="shared" si="16"/>
        <v>-110000</v>
      </c>
      <c r="AB30" s="38">
        <f t="shared" si="16"/>
        <v>-110000</v>
      </c>
      <c r="AC30" s="38">
        <f t="shared" si="16"/>
        <v>-110000</v>
      </c>
      <c r="AD30" s="38">
        <f t="shared" si="16"/>
        <v>-110000</v>
      </c>
      <c r="AE30" s="38">
        <f t="shared" si="16"/>
        <v>-110000</v>
      </c>
      <c r="AF30" s="38">
        <f t="shared" si="16"/>
        <v>-110000</v>
      </c>
      <c r="AG30" s="38">
        <f t="shared" si="16"/>
        <v>-110000</v>
      </c>
      <c r="AH30" s="38">
        <f t="shared" si="16"/>
        <v>-110000</v>
      </c>
      <c r="AI30" s="38">
        <f t="shared" si="16"/>
        <v>-110000</v>
      </c>
      <c r="AJ30" s="38">
        <f t="shared" si="16"/>
        <v>-110000</v>
      </c>
      <c r="AK30" s="38">
        <f t="shared" si="16"/>
        <v>-110000</v>
      </c>
      <c r="AL30" s="38">
        <f t="shared" si="16"/>
        <v>-110000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</row>
    <row r="31" ht="15.75" customHeight="1">
      <c r="A31" s="39" t="s">
        <v>98</v>
      </c>
      <c r="B31" s="40" t="s">
        <v>99</v>
      </c>
      <c r="C31" s="41">
        <v>-100000.0</v>
      </c>
      <c r="D31" s="41">
        <v>-100000.0</v>
      </c>
      <c r="E31" s="41">
        <v>-100000.0</v>
      </c>
      <c r="F31" s="41">
        <v>-100000.0</v>
      </c>
      <c r="G31" s="41">
        <v>-100000.0</v>
      </c>
      <c r="H31" s="41">
        <v>-100000.0</v>
      </c>
      <c r="I31" s="41">
        <v>-100000.0</v>
      </c>
      <c r="J31" s="41">
        <v>-100000.0</v>
      </c>
      <c r="K31" s="41">
        <v>-100000.0</v>
      </c>
      <c r="L31" s="41">
        <v>-100000.0</v>
      </c>
      <c r="M31" s="41">
        <v>-100000.0</v>
      </c>
      <c r="N31" s="41">
        <v>-100000.0</v>
      </c>
      <c r="O31" s="41">
        <v>-105000.0</v>
      </c>
      <c r="P31" s="41">
        <v>-105000.0</v>
      </c>
      <c r="Q31" s="41">
        <v>-105000.0</v>
      </c>
      <c r="R31" s="41">
        <v>-105000.0</v>
      </c>
      <c r="S31" s="41">
        <v>-105000.0</v>
      </c>
      <c r="T31" s="41">
        <v>-105000.0</v>
      </c>
      <c r="U31" s="41">
        <v>-105000.0</v>
      </c>
      <c r="V31" s="41">
        <v>-105000.0</v>
      </c>
      <c r="W31" s="41">
        <v>-105000.0</v>
      </c>
      <c r="X31" s="41">
        <v>-105000.0</v>
      </c>
      <c r="Y31" s="41">
        <v>-105000.0</v>
      </c>
      <c r="Z31" s="41">
        <v>-105000.0</v>
      </c>
      <c r="AA31" s="41">
        <v>-110000.0</v>
      </c>
      <c r="AB31" s="41">
        <v>-110000.0</v>
      </c>
      <c r="AC31" s="41">
        <v>-110000.0</v>
      </c>
      <c r="AD31" s="41">
        <v>-110000.0</v>
      </c>
      <c r="AE31" s="41">
        <v>-110000.0</v>
      </c>
      <c r="AF31" s="41">
        <v>-110000.0</v>
      </c>
      <c r="AG31" s="41">
        <v>-110000.0</v>
      </c>
      <c r="AH31" s="41">
        <v>-110000.0</v>
      </c>
      <c r="AI31" s="41">
        <v>-110000.0</v>
      </c>
      <c r="AJ31" s="41">
        <v>-110000.0</v>
      </c>
      <c r="AK31" s="41">
        <v>-110000.0</v>
      </c>
      <c r="AL31" s="41">
        <v>-110000.0</v>
      </c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</row>
    <row r="32" ht="15.75" customHeight="1">
      <c r="A32" s="39" t="s">
        <v>100</v>
      </c>
      <c r="B32" s="40" t="s">
        <v>101</v>
      </c>
      <c r="C32" s="41">
        <v>-30000.0</v>
      </c>
      <c r="D32" s="41">
        <v>-30000.0</v>
      </c>
      <c r="E32" s="41">
        <v>-30000.0</v>
      </c>
      <c r="F32" s="41">
        <v>-30000.0</v>
      </c>
      <c r="G32" s="41">
        <v>-30000.0</v>
      </c>
      <c r="H32" s="41">
        <v>-30000.0</v>
      </c>
      <c r="I32" s="41">
        <v>-30000.0</v>
      </c>
      <c r="J32" s="41">
        <v>-30000.0</v>
      </c>
      <c r="K32" s="41">
        <v>-30000.0</v>
      </c>
      <c r="L32" s="41">
        <v>-30000.0</v>
      </c>
      <c r="M32" s="41">
        <v>-30000.0</v>
      </c>
      <c r="N32" s="41">
        <v>-30000.0</v>
      </c>
      <c r="O32" s="41">
        <v>-35000.0</v>
      </c>
      <c r="P32" s="41">
        <v>-35000.0</v>
      </c>
      <c r="Q32" s="41">
        <v>-35000.0</v>
      </c>
      <c r="R32" s="41">
        <v>-35000.0</v>
      </c>
      <c r="S32" s="41">
        <v>-35000.0</v>
      </c>
      <c r="T32" s="41">
        <v>-35000.0</v>
      </c>
      <c r="U32" s="41">
        <v>-35000.0</v>
      </c>
      <c r="V32" s="41">
        <v>-35000.0</v>
      </c>
      <c r="W32" s="41">
        <v>-35000.0</v>
      </c>
      <c r="X32" s="41">
        <v>-35000.0</v>
      </c>
      <c r="Y32" s="41">
        <v>-35000.0</v>
      </c>
      <c r="Z32" s="40" t="s">
        <v>102</v>
      </c>
      <c r="AA32" s="40" t="s">
        <v>102</v>
      </c>
      <c r="AB32" s="40" t="s">
        <v>102</v>
      </c>
      <c r="AC32" s="40" t="s">
        <v>102</v>
      </c>
      <c r="AD32" s="40" t="s">
        <v>102</v>
      </c>
      <c r="AE32" s="40" t="s">
        <v>102</v>
      </c>
      <c r="AF32" s="40" t="s">
        <v>102</v>
      </c>
      <c r="AG32" s="40" t="s">
        <v>102</v>
      </c>
      <c r="AH32" s="40" t="s">
        <v>102</v>
      </c>
      <c r="AI32" s="40" t="s">
        <v>102</v>
      </c>
      <c r="AJ32" s="40" t="s">
        <v>102</v>
      </c>
      <c r="AK32" s="40" t="s">
        <v>102</v>
      </c>
      <c r="AL32" s="40" t="s">
        <v>102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</row>
    <row r="33" ht="15.75" customHeight="1">
      <c r="A33" s="30" t="s">
        <v>103</v>
      </c>
      <c r="B33" s="42">
        <v>0.016</v>
      </c>
      <c r="C33" s="38">
        <f t="shared" ref="C33:AL33" si="17">SUM(C34:C35)</f>
        <v>-51245</v>
      </c>
      <c r="D33" s="38">
        <f t="shared" si="17"/>
        <v>-51335</v>
      </c>
      <c r="E33" s="38">
        <f t="shared" si="17"/>
        <v>-51545</v>
      </c>
      <c r="F33" s="38">
        <f t="shared" si="17"/>
        <v>-51710</v>
      </c>
      <c r="G33" s="38">
        <f t="shared" si="17"/>
        <v>-51815</v>
      </c>
      <c r="H33" s="38">
        <f t="shared" si="17"/>
        <v>-52010</v>
      </c>
      <c r="I33" s="38">
        <f t="shared" si="17"/>
        <v>-18975</v>
      </c>
      <c r="J33" s="38">
        <f t="shared" si="17"/>
        <v>-21275</v>
      </c>
      <c r="K33" s="38">
        <f t="shared" si="17"/>
        <v>-22425</v>
      </c>
      <c r="L33" s="38">
        <f t="shared" si="17"/>
        <v>-23000</v>
      </c>
      <c r="M33" s="38">
        <f t="shared" si="17"/>
        <v>-23000</v>
      </c>
      <c r="N33" s="38">
        <f t="shared" si="17"/>
        <v>-23000</v>
      </c>
      <c r="O33" s="38">
        <f t="shared" si="17"/>
        <v>-23575</v>
      </c>
      <c r="P33" s="38">
        <f t="shared" si="17"/>
        <v>-24150</v>
      </c>
      <c r="Q33" s="38">
        <f t="shared" si="17"/>
        <v>-24725</v>
      </c>
      <c r="R33" s="38">
        <f t="shared" si="17"/>
        <v>-25300</v>
      </c>
      <c r="S33" s="38">
        <f t="shared" si="17"/>
        <v>-25875</v>
      </c>
      <c r="T33" s="38">
        <f t="shared" si="17"/>
        <v>-26450</v>
      </c>
      <c r="U33" s="38">
        <f t="shared" si="17"/>
        <v>-27025</v>
      </c>
      <c r="V33" s="38">
        <f t="shared" si="17"/>
        <v>-27600</v>
      </c>
      <c r="W33" s="38">
        <f t="shared" si="17"/>
        <v>-28175</v>
      </c>
      <c r="X33" s="38">
        <f t="shared" si="17"/>
        <v>-28750</v>
      </c>
      <c r="Y33" s="38">
        <f t="shared" si="17"/>
        <v>-29325</v>
      </c>
      <c r="Z33" s="38">
        <f t="shared" si="17"/>
        <v>-29900</v>
      </c>
      <c r="AA33" s="38">
        <f t="shared" si="17"/>
        <v>-30475</v>
      </c>
      <c r="AB33" s="38">
        <f t="shared" si="17"/>
        <v>-31050</v>
      </c>
      <c r="AC33" s="38">
        <f t="shared" si="17"/>
        <v>-31625</v>
      </c>
      <c r="AD33" s="38">
        <f t="shared" si="17"/>
        <v>-32200</v>
      </c>
      <c r="AE33" s="38">
        <f t="shared" si="17"/>
        <v>-32775</v>
      </c>
      <c r="AF33" s="38">
        <f t="shared" si="17"/>
        <v>-33350</v>
      </c>
      <c r="AG33" s="38">
        <f t="shared" si="17"/>
        <v>-33925</v>
      </c>
      <c r="AH33" s="38">
        <f t="shared" si="17"/>
        <v>-34500</v>
      </c>
      <c r="AI33" s="38">
        <f t="shared" si="17"/>
        <v>-35075</v>
      </c>
      <c r="AJ33" s="38">
        <f t="shared" si="17"/>
        <v>-35650</v>
      </c>
      <c r="AK33" s="38">
        <f t="shared" si="17"/>
        <v>-36225</v>
      </c>
      <c r="AL33" s="38">
        <f t="shared" si="17"/>
        <v>-36800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</row>
    <row r="34" ht="15.75" customHeight="1">
      <c r="A34" s="16" t="s">
        <v>104</v>
      </c>
      <c r="B34" s="36">
        <v>0.0015</v>
      </c>
      <c r="C34" s="20">
        <f>-B$34*C$4</f>
        <v>-1245</v>
      </c>
      <c r="D34" s="20">
        <f>-B$34*D$4</f>
        <v>-1335</v>
      </c>
      <c r="E34" s="20">
        <f>-B$34*E$4</f>
        <v>-1545</v>
      </c>
      <c r="F34" s="20">
        <f>-B$34*F$4</f>
        <v>-1710</v>
      </c>
      <c r="G34" s="20">
        <f>-B$34*G$4</f>
        <v>-1815</v>
      </c>
      <c r="H34" s="20">
        <f>-B$34*H$4</f>
        <v>-2010</v>
      </c>
      <c r="I34" s="20">
        <f>-B$34*I$4</f>
        <v>-2475</v>
      </c>
      <c r="J34" s="20">
        <f>-B$34*J$4</f>
        <v>-2775</v>
      </c>
      <c r="K34" s="20">
        <f>-B$34*K$4</f>
        <v>-2925</v>
      </c>
      <c r="L34" s="20">
        <f>-B$34*L$4</f>
        <v>-3000</v>
      </c>
      <c r="M34" s="20">
        <f>-B$34*M$4</f>
        <v>-3000</v>
      </c>
      <c r="N34" s="20">
        <f>-B$34*N$4</f>
        <v>-3000</v>
      </c>
      <c r="O34" s="20">
        <f>-B$34*O$4</f>
        <v>-3075</v>
      </c>
      <c r="P34" s="20">
        <f>-B$34*P$4</f>
        <v>-3150</v>
      </c>
      <c r="Q34" s="20">
        <f>-B$34*Q$4</f>
        <v>-3225</v>
      </c>
      <c r="R34" s="20">
        <f>-B$34*R$4</f>
        <v>-3300</v>
      </c>
      <c r="S34" s="20">
        <f>-B$34*S$4</f>
        <v>-3375</v>
      </c>
      <c r="T34" s="20">
        <f>-B$34*T$4</f>
        <v>-3450</v>
      </c>
      <c r="U34" s="20">
        <f>-B$34*U$4</f>
        <v>-3525</v>
      </c>
      <c r="V34" s="20">
        <f>-B$34*V$4</f>
        <v>-3600</v>
      </c>
      <c r="W34" s="20">
        <f>-B$34*W$4</f>
        <v>-3675</v>
      </c>
      <c r="X34" s="20">
        <f>-B$34*X$4</f>
        <v>-3750</v>
      </c>
      <c r="Y34" s="20">
        <f>-B$34*Y$4</f>
        <v>-3825</v>
      </c>
      <c r="Z34" s="20">
        <f>-B$34*Z$4</f>
        <v>-3900</v>
      </c>
      <c r="AA34" s="20">
        <f>-B$34*AA$4</f>
        <v>-3975</v>
      </c>
      <c r="AB34" s="20">
        <f>-B$34*AB$4</f>
        <v>-4050</v>
      </c>
      <c r="AC34" s="20">
        <f>-B$34*AC$4</f>
        <v>-4125</v>
      </c>
      <c r="AD34" s="20">
        <f>-B$34*AD$4</f>
        <v>-4200</v>
      </c>
      <c r="AE34" s="20">
        <f>-B$34*AE$4</f>
        <v>-4275</v>
      </c>
      <c r="AF34" s="20">
        <f>-B$34*AF$4</f>
        <v>-4350</v>
      </c>
      <c r="AG34" s="20">
        <f>-B$34*AG$4</f>
        <v>-4425</v>
      </c>
      <c r="AH34" s="20">
        <f>-B$34*AH$4</f>
        <v>-4500</v>
      </c>
      <c r="AI34" s="20">
        <f>-B$34*AI$4</f>
        <v>-4575</v>
      </c>
      <c r="AJ34" s="20">
        <f>-B$34*AJ$4</f>
        <v>-4650</v>
      </c>
      <c r="AK34" s="20">
        <f>-B$34*AK$4</f>
        <v>-4725</v>
      </c>
      <c r="AL34" s="20">
        <f>-B$34*AL$4</f>
        <v>-4800</v>
      </c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</row>
    <row r="35" ht="15.75" customHeight="1">
      <c r="A35" s="16" t="s">
        <v>105</v>
      </c>
      <c r="B35" s="36">
        <v>0.01</v>
      </c>
      <c r="C35" s="20">
        <v>-50000.0</v>
      </c>
      <c r="D35" s="20">
        <v>-50000.0</v>
      </c>
      <c r="E35" s="20">
        <v>-50000.0</v>
      </c>
      <c r="F35" s="20">
        <v>-50000.0</v>
      </c>
      <c r="G35" s="20">
        <v>-50000.0</v>
      </c>
      <c r="H35" s="20">
        <v>-50000.0</v>
      </c>
      <c r="I35" s="20">
        <f>-B$35*I$4</f>
        <v>-16500</v>
      </c>
      <c r="J35" s="20">
        <f>-B$35*J$4</f>
        <v>-18500</v>
      </c>
      <c r="K35" s="20">
        <f>-B$35*K$4</f>
        <v>-19500</v>
      </c>
      <c r="L35" s="20">
        <f>-B$35*L$4</f>
        <v>-20000</v>
      </c>
      <c r="M35" s="20">
        <f>-B$35*M$4</f>
        <v>-20000</v>
      </c>
      <c r="N35" s="20">
        <f>-B$35*N$4</f>
        <v>-20000</v>
      </c>
      <c r="O35" s="20">
        <f>-B$35*O$4</f>
        <v>-20500</v>
      </c>
      <c r="P35" s="20">
        <f>-B$35*P$4</f>
        <v>-21000</v>
      </c>
      <c r="Q35" s="20">
        <f>-B$35*Q$4</f>
        <v>-21500</v>
      </c>
      <c r="R35" s="20">
        <f>-B$35*R$4</f>
        <v>-22000</v>
      </c>
      <c r="S35" s="20">
        <f>-B$35*S$4</f>
        <v>-22500</v>
      </c>
      <c r="T35" s="20">
        <f>-B$35*T$4</f>
        <v>-23000</v>
      </c>
      <c r="U35" s="20">
        <f>-B$35*U$4</f>
        <v>-23500</v>
      </c>
      <c r="V35" s="20">
        <f>-B$35*V$4</f>
        <v>-24000</v>
      </c>
      <c r="W35" s="20">
        <f>-B$35*W$4</f>
        <v>-24500</v>
      </c>
      <c r="X35" s="20">
        <f>-B$35*X$4</f>
        <v>-25000</v>
      </c>
      <c r="Y35" s="20">
        <f>-B$35*Y$4</f>
        <v>-25500</v>
      </c>
      <c r="Z35" s="20">
        <f>-B$35*Z$4</f>
        <v>-26000</v>
      </c>
      <c r="AA35" s="20">
        <f>-B$35*AA$4</f>
        <v>-26500</v>
      </c>
      <c r="AB35" s="20">
        <f>-B$35*AB$4</f>
        <v>-27000</v>
      </c>
      <c r="AC35" s="20">
        <f>-B$35*AC$4</f>
        <v>-27500</v>
      </c>
      <c r="AD35" s="20">
        <f>-B$35*AD$4</f>
        <v>-28000</v>
      </c>
      <c r="AE35" s="20">
        <f>-B$35*AE$4</f>
        <v>-28500</v>
      </c>
      <c r="AF35" s="20">
        <f>-B$35*AF$4</f>
        <v>-29000</v>
      </c>
      <c r="AG35" s="20">
        <f>-B$35*AG$4</f>
        <v>-29500</v>
      </c>
      <c r="AH35" s="20">
        <f>-B$35*AH$4</f>
        <v>-30000</v>
      </c>
      <c r="AI35" s="20">
        <f>-B$35*AI$4</f>
        <v>-30500</v>
      </c>
      <c r="AJ35" s="20">
        <f>-B$35*AJ$4</f>
        <v>-31000</v>
      </c>
      <c r="AK35" s="20">
        <f>-B$35*AK$4</f>
        <v>-31500</v>
      </c>
      <c r="AL35" s="20">
        <f>-B$35*AL$4</f>
        <v>-32000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</row>
    <row r="36" ht="15.75" customHeight="1">
      <c r="A36" s="30" t="s">
        <v>106</v>
      </c>
      <c r="B36" s="31"/>
      <c r="C36" s="38">
        <f t="shared" ref="C36:AL36" si="18">SUM(C37:C45)</f>
        <v>-342310</v>
      </c>
      <c r="D36" s="38">
        <f t="shared" si="18"/>
        <v>-345730</v>
      </c>
      <c r="E36" s="38">
        <f t="shared" si="18"/>
        <v>-363710</v>
      </c>
      <c r="F36" s="38">
        <f t="shared" si="18"/>
        <v>-369980</v>
      </c>
      <c r="G36" s="38">
        <f t="shared" si="18"/>
        <v>-377570</v>
      </c>
      <c r="H36" s="38">
        <f t="shared" si="18"/>
        <v>-402980</v>
      </c>
      <c r="I36" s="38">
        <f t="shared" si="18"/>
        <v>-495050</v>
      </c>
      <c r="J36" s="38">
        <f t="shared" si="18"/>
        <v>-554450</v>
      </c>
      <c r="K36" s="38">
        <f t="shared" si="18"/>
        <v>-584150</v>
      </c>
      <c r="L36" s="38">
        <f t="shared" si="18"/>
        <v>-599000</v>
      </c>
      <c r="M36" s="38">
        <f t="shared" si="18"/>
        <v>-599000</v>
      </c>
      <c r="N36" s="38">
        <f t="shared" si="18"/>
        <v>-599000</v>
      </c>
      <c r="O36" s="38">
        <f t="shared" si="18"/>
        <v>-613850</v>
      </c>
      <c r="P36" s="38">
        <f t="shared" si="18"/>
        <v>-628700</v>
      </c>
      <c r="Q36" s="38">
        <f t="shared" si="18"/>
        <v>-643550</v>
      </c>
      <c r="R36" s="38">
        <f t="shared" si="18"/>
        <v>-658400</v>
      </c>
      <c r="S36" s="38">
        <f t="shared" si="18"/>
        <v>-673250</v>
      </c>
      <c r="T36" s="38">
        <f t="shared" si="18"/>
        <v>-688100</v>
      </c>
      <c r="U36" s="38">
        <f t="shared" si="18"/>
        <v>-702950</v>
      </c>
      <c r="V36" s="38">
        <f t="shared" si="18"/>
        <v>-717800</v>
      </c>
      <c r="W36" s="38">
        <f t="shared" si="18"/>
        <v>-732650</v>
      </c>
      <c r="X36" s="38">
        <f t="shared" si="18"/>
        <v>-747500</v>
      </c>
      <c r="Y36" s="38">
        <f t="shared" si="18"/>
        <v>-762350</v>
      </c>
      <c r="Z36" s="38">
        <f t="shared" si="18"/>
        <v>-777200</v>
      </c>
      <c r="AA36" s="38">
        <f t="shared" si="18"/>
        <v>-792050</v>
      </c>
      <c r="AB36" s="38">
        <f t="shared" si="18"/>
        <v>-806900</v>
      </c>
      <c r="AC36" s="38">
        <f t="shared" si="18"/>
        <v>-821750</v>
      </c>
      <c r="AD36" s="38">
        <f t="shared" si="18"/>
        <v>-836600</v>
      </c>
      <c r="AE36" s="38">
        <f t="shared" si="18"/>
        <v>-851450</v>
      </c>
      <c r="AF36" s="38">
        <f t="shared" si="18"/>
        <v>-866300</v>
      </c>
      <c r="AG36" s="38">
        <f t="shared" si="18"/>
        <v>-881150</v>
      </c>
      <c r="AH36" s="38">
        <f t="shared" si="18"/>
        <v>-896000</v>
      </c>
      <c r="AI36" s="38">
        <f t="shared" si="18"/>
        <v>-910850</v>
      </c>
      <c r="AJ36" s="38">
        <f t="shared" si="18"/>
        <v>-925700</v>
      </c>
      <c r="AK36" s="38">
        <f t="shared" si="18"/>
        <v>-940550</v>
      </c>
      <c r="AL36" s="38">
        <f t="shared" si="18"/>
        <v>-955400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</row>
    <row r="37" ht="15.75" customHeight="1">
      <c r="A37" s="33" t="s">
        <v>107</v>
      </c>
      <c r="B37" s="43">
        <v>0.16</v>
      </c>
      <c r="C37" s="44">
        <v>-190000.0</v>
      </c>
      <c r="D37" s="44">
        <v>-190000.0</v>
      </c>
      <c r="E37" s="44">
        <v>-190000.0</v>
      </c>
      <c r="F37" s="44">
        <v>-190000.0</v>
      </c>
      <c r="G37" s="44">
        <f>-B$37*G$4</f>
        <v>-193600</v>
      </c>
      <c r="H37" s="44">
        <f>-B$37*H$4</f>
        <v>-214400</v>
      </c>
      <c r="I37" s="44">
        <f>-B$37*I$4</f>
        <v>-264000</v>
      </c>
      <c r="J37" s="44">
        <f>-B$37*J$4</f>
        <v>-296000</v>
      </c>
      <c r="K37" s="44">
        <f>-B$37*K$4</f>
        <v>-312000</v>
      </c>
      <c r="L37" s="44">
        <f>-B$37*L$4</f>
        <v>-320000</v>
      </c>
      <c r="M37" s="44">
        <f>-B$37*M$4</f>
        <v>-320000</v>
      </c>
      <c r="N37" s="44">
        <f>-B$37*N$4</f>
        <v>-320000</v>
      </c>
      <c r="O37" s="44">
        <f>-B$37*O$4</f>
        <v>-328000</v>
      </c>
      <c r="P37" s="44">
        <f>-B$37*P$4</f>
        <v>-336000</v>
      </c>
      <c r="Q37" s="44">
        <f>-B$37*Q$4</f>
        <v>-344000</v>
      </c>
      <c r="R37" s="44">
        <f>-B$37*R$4</f>
        <v>-352000</v>
      </c>
      <c r="S37" s="44">
        <f>-B$37*S$4</f>
        <v>-360000</v>
      </c>
      <c r="T37" s="44">
        <f>-B$37*T$4</f>
        <v>-368000</v>
      </c>
      <c r="U37" s="44">
        <f>-B$37*U$4</f>
        <v>-376000</v>
      </c>
      <c r="V37" s="44">
        <f>-B$37*V$4</f>
        <v>-384000</v>
      </c>
      <c r="W37" s="44">
        <f>-B$37*W$4</f>
        <v>-392000</v>
      </c>
      <c r="X37" s="44">
        <f>-B$37*X$4</f>
        <v>-400000</v>
      </c>
      <c r="Y37" s="44">
        <f>-B$37*Y$4</f>
        <v>-408000</v>
      </c>
      <c r="Z37" s="44">
        <f>-B$37*Z$4</f>
        <v>-416000</v>
      </c>
      <c r="AA37" s="44">
        <f>-B$37*AA$4</f>
        <v>-424000</v>
      </c>
      <c r="AB37" s="44">
        <f>-B$37*AB$4</f>
        <v>-432000</v>
      </c>
      <c r="AC37" s="44">
        <f>-B$37*AC$4</f>
        <v>-440000</v>
      </c>
      <c r="AD37" s="44">
        <f>-B$37*AD$4</f>
        <v>-448000</v>
      </c>
      <c r="AE37" s="44">
        <f>-B$37*AE$4</f>
        <v>-456000</v>
      </c>
      <c r="AF37" s="44">
        <f>-B$37*AF$4</f>
        <v>-464000</v>
      </c>
      <c r="AG37" s="44">
        <f>-B$37*AG$4</f>
        <v>-472000</v>
      </c>
      <c r="AH37" s="44">
        <f>-B$37*AH$4</f>
        <v>-480000</v>
      </c>
      <c r="AI37" s="44">
        <f>-B$37*AI$4</f>
        <v>-488000</v>
      </c>
      <c r="AJ37" s="44">
        <f>-B$37*AJ$4</f>
        <v>-496000</v>
      </c>
      <c r="AK37" s="44">
        <f>-B$37*AK$4</f>
        <v>-504000</v>
      </c>
      <c r="AL37" s="44">
        <f>-B$37*AL$4</f>
        <v>-512000</v>
      </c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ht="15.75" customHeight="1">
      <c r="A38" s="37" t="s">
        <v>108</v>
      </c>
      <c r="B38" s="43">
        <v>0.08</v>
      </c>
      <c r="C38" s="44">
        <v>-100000.0</v>
      </c>
      <c r="D38" s="44">
        <v>-100000.0</v>
      </c>
      <c r="E38" s="44">
        <v>-110000.0</v>
      </c>
      <c r="F38" s="44">
        <v>-110000.0</v>
      </c>
      <c r="G38" s="44">
        <v>-110000.0</v>
      </c>
      <c r="H38" s="44">
        <f>-B$38*H$4</f>
        <v>-107200</v>
      </c>
      <c r="I38" s="44">
        <f>-B$38*I$4</f>
        <v>-132000</v>
      </c>
      <c r="J38" s="44">
        <f>-B$38*J$4</f>
        <v>-148000</v>
      </c>
      <c r="K38" s="44">
        <f>-B$38*K$4</f>
        <v>-156000</v>
      </c>
      <c r="L38" s="44">
        <f>-B$38*L$4</f>
        <v>-160000</v>
      </c>
      <c r="M38" s="44">
        <f>-B$38*M$4</f>
        <v>-160000</v>
      </c>
      <c r="N38" s="44">
        <f>-B$38*N$4</f>
        <v>-160000</v>
      </c>
      <c r="O38" s="44">
        <f>-B$38*O$4</f>
        <v>-164000</v>
      </c>
      <c r="P38" s="44">
        <f>-B$38*P$4</f>
        <v>-168000</v>
      </c>
      <c r="Q38" s="44">
        <f>-B$38*Q$4</f>
        <v>-172000</v>
      </c>
      <c r="R38" s="44">
        <f>-B$38*R$4</f>
        <v>-176000</v>
      </c>
      <c r="S38" s="44">
        <f>-B$38*S$4</f>
        <v>-180000</v>
      </c>
      <c r="T38" s="44">
        <f>-B$38*T$4</f>
        <v>-184000</v>
      </c>
      <c r="U38" s="44">
        <f>-B$38*U$4</f>
        <v>-188000</v>
      </c>
      <c r="V38" s="44">
        <f>-B$38*V$4</f>
        <v>-192000</v>
      </c>
      <c r="W38" s="44">
        <f>-B$38*W$4</f>
        <v>-196000</v>
      </c>
      <c r="X38" s="44">
        <f>-B$38*X$4</f>
        <v>-200000</v>
      </c>
      <c r="Y38" s="44">
        <f>-B$38*Y$4</f>
        <v>-204000</v>
      </c>
      <c r="Z38" s="44">
        <f>-B$38*Z$4</f>
        <v>-208000</v>
      </c>
      <c r="AA38" s="44">
        <f>-B$38*AA$4</f>
        <v>-212000</v>
      </c>
      <c r="AB38" s="44">
        <f>-B$38*AB$4</f>
        <v>-216000</v>
      </c>
      <c r="AC38" s="44">
        <f>-B$38*AC$4</f>
        <v>-220000</v>
      </c>
      <c r="AD38" s="44">
        <f>-B$38*AD$4</f>
        <v>-224000</v>
      </c>
      <c r="AE38" s="44">
        <f>-B$38*AE$4</f>
        <v>-228000</v>
      </c>
      <c r="AF38" s="44">
        <f>-B$38*AF$4</f>
        <v>-232000</v>
      </c>
      <c r="AG38" s="44">
        <f>-B$38*AG$4</f>
        <v>-236000</v>
      </c>
      <c r="AH38" s="44">
        <f>-B$38*AH$4</f>
        <v>-240000</v>
      </c>
      <c r="AI38" s="44">
        <f>-B$38*AI$4</f>
        <v>-244000</v>
      </c>
      <c r="AJ38" s="44">
        <f>-B$38*AJ$4</f>
        <v>-248000</v>
      </c>
      <c r="AK38" s="44">
        <f>-B$38*AK$4</f>
        <v>-252000</v>
      </c>
      <c r="AL38" s="44">
        <f>-B$38*AL$4</f>
        <v>-256000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</row>
    <row r="39" ht="15.75" customHeight="1">
      <c r="A39" s="16" t="s">
        <v>109</v>
      </c>
      <c r="B39" s="35">
        <v>0.0175</v>
      </c>
      <c r="C39" s="20">
        <f>-B$39*C$4</f>
        <v>-14525</v>
      </c>
      <c r="D39" s="20">
        <f>-B$39*D$4</f>
        <v>-15575</v>
      </c>
      <c r="E39" s="20">
        <f>-B$39*E$4</f>
        <v>-18025</v>
      </c>
      <c r="F39" s="44">
        <f>-B$39*F$4</f>
        <v>-19950</v>
      </c>
      <c r="G39" s="44">
        <f>-B$39*G$4</f>
        <v>-21175</v>
      </c>
      <c r="H39" s="44">
        <f>-B$39*H$4</f>
        <v>-23450</v>
      </c>
      <c r="I39" s="44">
        <f>-B$39*I$4</f>
        <v>-28875</v>
      </c>
      <c r="J39" s="44">
        <f>-B$39*J$4</f>
        <v>-32375</v>
      </c>
      <c r="K39" s="44">
        <f>-B$39*K$4</f>
        <v>-34125</v>
      </c>
      <c r="L39" s="44">
        <f>-B$39*L$4</f>
        <v>-35000</v>
      </c>
      <c r="M39" s="44">
        <f>-B$39*M$4</f>
        <v>-35000</v>
      </c>
      <c r="N39" s="44">
        <f>-B$39*N$4</f>
        <v>-35000</v>
      </c>
      <c r="O39" s="44">
        <f>-B$39*O$4</f>
        <v>-35875</v>
      </c>
      <c r="P39" s="44">
        <f>-B$39*P$4</f>
        <v>-36750</v>
      </c>
      <c r="Q39" s="44">
        <f>-B$39*Q$4</f>
        <v>-37625</v>
      </c>
      <c r="R39" s="44">
        <f>-B$39*R$4</f>
        <v>-38500</v>
      </c>
      <c r="S39" s="44">
        <f>-B$39*S$4</f>
        <v>-39375</v>
      </c>
      <c r="T39" s="44">
        <f>-B$39*T$4</f>
        <v>-40250</v>
      </c>
      <c r="U39" s="44">
        <f>-B$39*U$4</f>
        <v>-41125</v>
      </c>
      <c r="V39" s="44">
        <f>-B$39*V$4</f>
        <v>-42000</v>
      </c>
      <c r="W39" s="44">
        <f>-B$39*W$4</f>
        <v>-42875</v>
      </c>
      <c r="X39" s="44">
        <f>-B$39*X$4</f>
        <v>-43750</v>
      </c>
      <c r="Y39" s="44">
        <f>-B$39*Y$4</f>
        <v>-44625</v>
      </c>
      <c r="Z39" s="44">
        <f>-B$39*Z$4</f>
        <v>-45500</v>
      </c>
      <c r="AA39" s="44">
        <f>-B$39*AA$4</f>
        <v>-46375</v>
      </c>
      <c r="AB39" s="44">
        <f>-B$39*AB$4</f>
        <v>-47250</v>
      </c>
      <c r="AC39" s="44">
        <f>-B$39*AC$4</f>
        <v>-48125</v>
      </c>
      <c r="AD39" s="44">
        <f>-B$39*AD$4</f>
        <v>-49000</v>
      </c>
      <c r="AE39" s="44">
        <f>-B$39*AE$4</f>
        <v>-49875</v>
      </c>
      <c r="AF39" s="44">
        <f>-B$39*AF$4</f>
        <v>-50750</v>
      </c>
      <c r="AG39" s="44">
        <f>-B$39*AG$4</f>
        <v>-51625</v>
      </c>
      <c r="AH39" s="44">
        <f>-B$39*AH$4</f>
        <v>-52500</v>
      </c>
      <c r="AI39" s="44">
        <f>-B$39*AI$4</f>
        <v>-53375</v>
      </c>
      <c r="AJ39" s="44">
        <f>-B$39*AJ$4</f>
        <v>-54250</v>
      </c>
      <c r="AK39" s="44">
        <f>-B$39*AK$4</f>
        <v>-55125</v>
      </c>
      <c r="AL39" s="44">
        <f>-B$39*AL$4</f>
        <v>-56000</v>
      </c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</row>
    <row r="40" ht="15.75" customHeight="1">
      <c r="A40" s="16" t="s">
        <v>110</v>
      </c>
      <c r="B40" s="36">
        <v>0.008</v>
      </c>
      <c r="C40" s="20">
        <v>-5000.0</v>
      </c>
      <c r="D40" s="20">
        <v>-5000.0</v>
      </c>
      <c r="E40" s="20">
        <v>-5000.0</v>
      </c>
      <c r="F40" s="20">
        <v>-5000.0</v>
      </c>
      <c r="G40" s="20">
        <v>-5000.0</v>
      </c>
      <c r="H40" s="20">
        <v>-5000.0</v>
      </c>
      <c r="I40" s="20">
        <v>-5000.0</v>
      </c>
      <c r="J40" s="20">
        <v>-5000.0</v>
      </c>
      <c r="K40" s="20">
        <v>-5000.0</v>
      </c>
      <c r="L40" s="20">
        <v>-5000.0</v>
      </c>
      <c r="M40" s="20">
        <v>-5000.0</v>
      </c>
      <c r="N40" s="20">
        <v>-5000.0</v>
      </c>
      <c r="O40" s="20">
        <v>-5000.0</v>
      </c>
      <c r="P40" s="20">
        <v>-5000.0</v>
      </c>
      <c r="Q40" s="20">
        <v>-5000.0</v>
      </c>
      <c r="R40" s="20">
        <v>-5000.0</v>
      </c>
      <c r="S40" s="20">
        <v>-5000.0</v>
      </c>
      <c r="T40" s="20">
        <v>-5000.0</v>
      </c>
      <c r="U40" s="20">
        <v>-5000.0</v>
      </c>
      <c r="V40" s="20">
        <v>-5000.0</v>
      </c>
      <c r="W40" s="20">
        <v>-5000.0</v>
      </c>
      <c r="X40" s="20">
        <v>-5000.0</v>
      </c>
      <c r="Y40" s="20">
        <v>-5000.0</v>
      </c>
      <c r="Z40" s="20">
        <v>-5000.0</v>
      </c>
      <c r="AA40" s="20">
        <v>-5000.0</v>
      </c>
      <c r="AB40" s="20">
        <v>-5000.0</v>
      </c>
      <c r="AC40" s="20">
        <v>-5000.0</v>
      </c>
      <c r="AD40" s="20">
        <v>-5000.0</v>
      </c>
      <c r="AE40" s="20">
        <v>-5000.0</v>
      </c>
      <c r="AF40" s="20">
        <v>-5000.0</v>
      </c>
      <c r="AG40" s="20">
        <v>-5000.0</v>
      </c>
      <c r="AH40" s="20">
        <v>-5000.0</v>
      </c>
      <c r="AI40" s="20">
        <v>-5000.0</v>
      </c>
      <c r="AJ40" s="20">
        <v>-5000.0</v>
      </c>
      <c r="AK40" s="20">
        <v>-5000.0</v>
      </c>
      <c r="AL40" s="20">
        <v>-5000.0</v>
      </c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</row>
    <row r="41" ht="15.75" customHeight="1">
      <c r="A41" s="16" t="s">
        <v>111</v>
      </c>
      <c r="B41" s="36">
        <v>0.002</v>
      </c>
      <c r="C41" s="20">
        <f>-B$41*C$4</f>
        <v>-1660</v>
      </c>
      <c r="D41" s="20">
        <f>-B$41*D$4</f>
        <v>-1780</v>
      </c>
      <c r="E41" s="20">
        <f>-B$41*E$4</f>
        <v>-2060</v>
      </c>
      <c r="F41" s="44">
        <f>-B$41*F$4</f>
        <v>-2280</v>
      </c>
      <c r="G41" s="44">
        <f>-B$41*G$4</f>
        <v>-2420</v>
      </c>
      <c r="H41" s="44">
        <f>-B$41*H$4</f>
        <v>-2680</v>
      </c>
      <c r="I41" s="44">
        <f>-B$41*I$4</f>
        <v>-3300</v>
      </c>
      <c r="J41" s="44">
        <f>-B$41*J$4</f>
        <v>-3700</v>
      </c>
      <c r="K41" s="44">
        <f>-B$41*K$4</f>
        <v>-3900</v>
      </c>
      <c r="L41" s="44">
        <f>-B$41*L$4</f>
        <v>-4000</v>
      </c>
      <c r="M41" s="44">
        <f>-B$41*M$4</f>
        <v>-4000</v>
      </c>
      <c r="N41" s="44">
        <f>-B$41*N$4</f>
        <v>-4000</v>
      </c>
      <c r="O41" s="44">
        <f>-B$41*O$4</f>
        <v>-4100</v>
      </c>
      <c r="P41" s="44">
        <f>-B$41*P$4</f>
        <v>-4200</v>
      </c>
      <c r="Q41" s="44">
        <f>-B$41*Q$4</f>
        <v>-4300</v>
      </c>
      <c r="R41" s="44">
        <f>-B$41*R$4</f>
        <v>-4400</v>
      </c>
      <c r="S41" s="44">
        <f>-B$41*S$4</f>
        <v>-4500</v>
      </c>
      <c r="T41" s="44">
        <f>-B$41*T$4</f>
        <v>-4600</v>
      </c>
      <c r="U41" s="44">
        <f>-B$41*U$4</f>
        <v>-4700</v>
      </c>
      <c r="V41" s="44">
        <f>-B$41*V$4</f>
        <v>-4800</v>
      </c>
      <c r="W41" s="44">
        <f>-B$41*W$4</f>
        <v>-4900</v>
      </c>
      <c r="X41" s="44">
        <f>-B$41*X$4</f>
        <v>-5000</v>
      </c>
      <c r="Y41" s="44">
        <f>-B$41*Y$4</f>
        <v>-5100</v>
      </c>
      <c r="Z41" s="44">
        <f>-B$41*Z$4</f>
        <v>-5200</v>
      </c>
      <c r="AA41" s="44">
        <f>-B$41*AA$4</f>
        <v>-5300</v>
      </c>
      <c r="AB41" s="44">
        <f>-B$41*AB$4</f>
        <v>-5400</v>
      </c>
      <c r="AC41" s="44">
        <f>-B$41*AC$4</f>
        <v>-5500</v>
      </c>
      <c r="AD41" s="44">
        <f>-B$41*AD$4</f>
        <v>-5600</v>
      </c>
      <c r="AE41" s="44">
        <f>-B$41*AE$4</f>
        <v>-5700</v>
      </c>
      <c r="AF41" s="44">
        <f>-B$41*AF$4</f>
        <v>-5800</v>
      </c>
      <c r="AG41" s="44">
        <f>-B$41*AG$4</f>
        <v>-5900</v>
      </c>
      <c r="AH41" s="44">
        <f>-B$41*AH$4</f>
        <v>-6000</v>
      </c>
      <c r="AI41" s="44">
        <f>-B$41*AI$4</f>
        <v>-6100</v>
      </c>
      <c r="AJ41" s="44">
        <f>-B$41*AJ$4</f>
        <v>-6200</v>
      </c>
      <c r="AK41" s="44">
        <f>-B$41*AK$4</f>
        <v>-6300</v>
      </c>
      <c r="AL41" s="44">
        <f>-B$41*AL$4</f>
        <v>-6400</v>
      </c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</row>
    <row r="42" ht="15.75" customHeight="1">
      <c r="A42" s="16" t="s">
        <v>112</v>
      </c>
      <c r="B42" s="36">
        <v>0.01</v>
      </c>
      <c r="C42" s="20">
        <f>-B$42*C$4</f>
        <v>-8300</v>
      </c>
      <c r="D42" s="20">
        <f>-B$42*D$4</f>
        <v>-8900</v>
      </c>
      <c r="E42" s="20">
        <f>-B$42*E$4</f>
        <v>-10300</v>
      </c>
      <c r="F42" s="44">
        <f>-B$42*F$4</f>
        <v>-11400</v>
      </c>
      <c r="G42" s="44">
        <f>-B$42*G$4</f>
        <v>-12100</v>
      </c>
      <c r="H42" s="44">
        <f>-B$42*H$4</f>
        <v>-13400</v>
      </c>
      <c r="I42" s="44">
        <f>-B$42*I$4</f>
        <v>-16500</v>
      </c>
      <c r="J42" s="44">
        <f>-B$42*J$4</f>
        <v>-18500</v>
      </c>
      <c r="K42" s="44">
        <f>-B$42*K$4</f>
        <v>-19500</v>
      </c>
      <c r="L42" s="44">
        <f>-B$42*L$4</f>
        <v>-20000</v>
      </c>
      <c r="M42" s="44">
        <f>-B$42*M$4</f>
        <v>-20000</v>
      </c>
      <c r="N42" s="44">
        <f>-B$42*N$4</f>
        <v>-20000</v>
      </c>
      <c r="O42" s="44">
        <f>-B$42*O$4</f>
        <v>-20500</v>
      </c>
      <c r="P42" s="44">
        <f>-B$42*P$4</f>
        <v>-21000</v>
      </c>
      <c r="Q42" s="44">
        <f>-B$42*Q$4</f>
        <v>-21500</v>
      </c>
      <c r="R42" s="44">
        <f>-B$42*R$4</f>
        <v>-22000</v>
      </c>
      <c r="S42" s="44">
        <f>-B$42*S$4</f>
        <v>-22500</v>
      </c>
      <c r="T42" s="44">
        <f>-B$42*T$4</f>
        <v>-23000</v>
      </c>
      <c r="U42" s="44">
        <f>-B$42*U$4</f>
        <v>-23500</v>
      </c>
      <c r="V42" s="44">
        <f>-B$42*V$4</f>
        <v>-24000</v>
      </c>
      <c r="W42" s="44">
        <f>-B$42*W$4</f>
        <v>-24500</v>
      </c>
      <c r="X42" s="44">
        <f>-B$42*X$4</f>
        <v>-25000</v>
      </c>
      <c r="Y42" s="44">
        <f>-B$42*Y$4</f>
        <v>-25500</v>
      </c>
      <c r="Z42" s="44">
        <f>-B$42*Z$4</f>
        <v>-26000</v>
      </c>
      <c r="AA42" s="44">
        <f>-B$42*AA$4</f>
        <v>-26500</v>
      </c>
      <c r="AB42" s="44">
        <f>-B$42*AB$4</f>
        <v>-27000</v>
      </c>
      <c r="AC42" s="44">
        <f>-B$42*AC$4</f>
        <v>-27500</v>
      </c>
      <c r="AD42" s="44">
        <f>-B$42*AD$4</f>
        <v>-28000</v>
      </c>
      <c r="AE42" s="44">
        <f>-B$42*AE$4</f>
        <v>-28500</v>
      </c>
      <c r="AF42" s="44">
        <f>-B$42*AF$4</f>
        <v>-29000</v>
      </c>
      <c r="AG42" s="44">
        <f>-B$42*AG$4</f>
        <v>-29500</v>
      </c>
      <c r="AH42" s="44">
        <f>-B$42*AH$4</f>
        <v>-30000</v>
      </c>
      <c r="AI42" s="44">
        <f>-B$42*AI$4</f>
        <v>-30500</v>
      </c>
      <c r="AJ42" s="44">
        <f>-B$42*AJ$4</f>
        <v>-31000</v>
      </c>
      <c r="AK42" s="44">
        <f>-B$42*AK$4</f>
        <v>-31500</v>
      </c>
      <c r="AL42" s="44">
        <f>-B$42*AL$4</f>
        <v>-32000</v>
      </c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</row>
    <row r="43" ht="15.75" customHeight="1">
      <c r="A43" s="16" t="s">
        <v>113</v>
      </c>
      <c r="B43" s="36">
        <v>0.0125</v>
      </c>
      <c r="C43" s="20">
        <f>-B$43*C$4</f>
        <v>-10375</v>
      </c>
      <c r="D43" s="20">
        <f>-B$43*D$4</f>
        <v>-11125</v>
      </c>
      <c r="E43" s="20">
        <f>-B$43*E$4</f>
        <v>-12875</v>
      </c>
      <c r="F43" s="44">
        <f>-B$43*F$4</f>
        <v>-14250</v>
      </c>
      <c r="G43" s="44">
        <f>-B$43*G$4</f>
        <v>-15125</v>
      </c>
      <c r="H43" s="44">
        <f>-B$43*H$4</f>
        <v>-16750</v>
      </c>
      <c r="I43" s="44">
        <f>-B$43*I$4</f>
        <v>-20625</v>
      </c>
      <c r="J43" s="44">
        <f>-B$43*J$4</f>
        <v>-23125</v>
      </c>
      <c r="K43" s="44">
        <f>-B$43*K$4</f>
        <v>-24375</v>
      </c>
      <c r="L43" s="44">
        <f>-B$43*L$4</f>
        <v>-25000</v>
      </c>
      <c r="M43" s="44">
        <f>-B$43*M$4</f>
        <v>-25000</v>
      </c>
      <c r="N43" s="44">
        <f>-B$43*N$4</f>
        <v>-25000</v>
      </c>
      <c r="O43" s="44">
        <f>-B$43*O$4</f>
        <v>-25625</v>
      </c>
      <c r="P43" s="44">
        <f>-B$43*P$4</f>
        <v>-26250</v>
      </c>
      <c r="Q43" s="44">
        <f>-B$43*Q$4</f>
        <v>-26875</v>
      </c>
      <c r="R43" s="44">
        <f>-B$43*R$4</f>
        <v>-27500</v>
      </c>
      <c r="S43" s="44">
        <f>-B$43*S$4</f>
        <v>-28125</v>
      </c>
      <c r="T43" s="44">
        <f>-B$43*T$4</f>
        <v>-28750</v>
      </c>
      <c r="U43" s="44">
        <f>-B$43*U$4</f>
        <v>-29375</v>
      </c>
      <c r="V43" s="44">
        <f>-B$43*V$4</f>
        <v>-30000</v>
      </c>
      <c r="W43" s="44">
        <f>-B$43*W$4</f>
        <v>-30625</v>
      </c>
      <c r="X43" s="44">
        <f>-B$43*X$4</f>
        <v>-31250</v>
      </c>
      <c r="Y43" s="44">
        <f>-B$43*Y$4</f>
        <v>-31875</v>
      </c>
      <c r="Z43" s="44">
        <f>-B$43*Z$4</f>
        <v>-32500</v>
      </c>
      <c r="AA43" s="44">
        <f>-B$43*AA$4</f>
        <v>-33125</v>
      </c>
      <c r="AB43" s="44">
        <f>-B$43*AB$4</f>
        <v>-33750</v>
      </c>
      <c r="AC43" s="44">
        <f>-B$43*AC$4</f>
        <v>-34375</v>
      </c>
      <c r="AD43" s="44">
        <f>-B$43*AD$4</f>
        <v>-35000</v>
      </c>
      <c r="AE43" s="44">
        <f>-B$43*AE$4</f>
        <v>-35625</v>
      </c>
      <c r="AF43" s="44">
        <f>-B$43*AF$4</f>
        <v>-36250</v>
      </c>
      <c r="AG43" s="44">
        <f>-B$43*AG$4</f>
        <v>-36875</v>
      </c>
      <c r="AH43" s="44">
        <f>-B$43*AH$4</f>
        <v>-37500</v>
      </c>
      <c r="AI43" s="44">
        <f>-B$43*AI$4</f>
        <v>-38125</v>
      </c>
      <c r="AJ43" s="44">
        <f>-B$43*AJ$4</f>
        <v>-38750</v>
      </c>
      <c r="AK43" s="44">
        <f>-B$43*AK$4</f>
        <v>-39375</v>
      </c>
      <c r="AL43" s="44">
        <f>-B$43*AL$4</f>
        <v>-40000</v>
      </c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</row>
    <row r="44" ht="15.75" customHeight="1">
      <c r="A44" s="16" t="s">
        <v>114</v>
      </c>
      <c r="B44" s="36">
        <v>0.005</v>
      </c>
      <c r="C44" s="20">
        <f>-B$44*C$4</f>
        <v>-4150</v>
      </c>
      <c r="D44" s="20">
        <f>-B$44*D$4</f>
        <v>-4450</v>
      </c>
      <c r="E44" s="20">
        <f>-B$44*E$4</f>
        <v>-5150</v>
      </c>
      <c r="F44" s="44">
        <f>-B$44*F$4</f>
        <v>-5700</v>
      </c>
      <c r="G44" s="44">
        <f>-B$44*G$4</f>
        <v>-6050</v>
      </c>
      <c r="H44" s="44">
        <f>-B$44*H$4</f>
        <v>-6700</v>
      </c>
      <c r="I44" s="44">
        <f>-B$44*I$4</f>
        <v>-8250</v>
      </c>
      <c r="J44" s="44">
        <f>-B$44*J$4</f>
        <v>-9250</v>
      </c>
      <c r="K44" s="44">
        <f>-B$44*K$4</f>
        <v>-9750</v>
      </c>
      <c r="L44" s="44">
        <f>-B$44*L$4</f>
        <v>-10000</v>
      </c>
      <c r="M44" s="44">
        <f>-B$44*M$4</f>
        <v>-10000</v>
      </c>
      <c r="N44" s="44">
        <f>-B$44*N$4</f>
        <v>-10000</v>
      </c>
      <c r="O44" s="44">
        <f>-B$44*O$4</f>
        <v>-10250</v>
      </c>
      <c r="P44" s="44">
        <f>-B$44*P$4</f>
        <v>-10500</v>
      </c>
      <c r="Q44" s="44">
        <f>-B$44*Q$4</f>
        <v>-10750</v>
      </c>
      <c r="R44" s="44">
        <f>-B$44*R$4</f>
        <v>-11000</v>
      </c>
      <c r="S44" s="44">
        <f>-B$44*S$4</f>
        <v>-11250</v>
      </c>
      <c r="T44" s="44">
        <f>-B$44*T$4</f>
        <v>-11500</v>
      </c>
      <c r="U44" s="44">
        <f>-B$44*U$4</f>
        <v>-11750</v>
      </c>
      <c r="V44" s="44">
        <f>-B$44*V$4</f>
        <v>-12000</v>
      </c>
      <c r="W44" s="44">
        <f>-B$44*W$4</f>
        <v>-12250</v>
      </c>
      <c r="X44" s="44">
        <f>-B$44*X$4</f>
        <v>-12500</v>
      </c>
      <c r="Y44" s="44">
        <f>-B$44*Y$4</f>
        <v>-12750</v>
      </c>
      <c r="Z44" s="44">
        <f>-B$44*Z$4</f>
        <v>-13000</v>
      </c>
      <c r="AA44" s="44">
        <f>-B$44*AA$4</f>
        <v>-13250</v>
      </c>
      <c r="AB44" s="44">
        <f>-B$44*AB$4</f>
        <v>-13500</v>
      </c>
      <c r="AC44" s="44">
        <f>-B$44*AC$4</f>
        <v>-13750</v>
      </c>
      <c r="AD44" s="44">
        <f>-B$44*AD$4</f>
        <v>-14000</v>
      </c>
      <c r="AE44" s="44">
        <f>-B$44*AE$4</f>
        <v>-14250</v>
      </c>
      <c r="AF44" s="44">
        <f>-B$44*AF$4</f>
        <v>-14500</v>
      </c>
      <c r="AG44" s="44">
        <f>-B$44*AG$4</f>
        <v>-14750</v>
      </c>
      <c r="AH44" s="44">
        <f>-B$44*AH$4</f>
        <v>-15000</v>
      </c>
      <c r="AI44" s="44">
        <f>-B$44*AI$4</f>
        <v>-15250</v>
      </c>
      <c r="AJ44" s="44">
        <f>-B$44*AJ$4</f>
        <v>-15500</v>
      </c>
      <c r="AK44" s="44">
        <f>-B$44*AK$4</f>
        <v>-15750</v>
      </c>
      <c r="AL44" s="44">
        <f>-B$44*AL$4</f>
        <v>-16000</v>
      </c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</row>
    <row r="45" ht="15.75" customHeight="1">
      <c r="A45" s="16" t="s">
        <v>115</v>
      </c>
      <c r="B45" s="36">
        <v>0.01</v>
      </c>
      <c r="C45" s="20">
        <f>-B$45*C$4</f>
        <v>-8300</v>
      </c>
      <c r="D45" s="20">
        <f>-B$45*D$4</f>
        <v>-8900</v>
      </c>
      <c r="E45" s="20">
        <f>-B$45*E$4</f>
        <v>-10300</v>
      </c>
      <c r="F45" s="44">
        <f>-B$45*F$4</f>
        <v>-11400</v>
      </c>
      <c r="G45" s="44">
        <f>-B$45*G$4</f>
        <v>-12100</v>
      </c>
      <c r="H45" s="44">
        <f>-B$45*H$4</f>
        <v>-13400</v>
      </c>
      <c r="I45" s="44">
        <f>-B$45*I$4</f>
        <v>-16500</v>
      </c>
      <c r="J45" s="44">
        <f>-B$45*J$4</f>
        <v>-18500</v>
      </c>
      <c r="K45" s="44">
        <f>-B$45*K$4</f>
        <v>-19500</v>
      </c>
      <c r="L45" s="44">
        <f>-B$45*L$4</f>
        <v>-20000</v>
      </c>
      <c r="M45" s="44">
        <f>-B$45*M$4</f>
        <v>-20000</v>
      </c>
      <c r="N45" s="44">
        <f>-B$45*N$4</f>
        <v>-20000</v>
      </c>
      <c r="O45" s="44">
        <f>-B$45*O$4</f>
        <v>-20500</v>
      </c>
      <c r="P45" s="44">
        <f>-B$45*P$4</f>
        <v>-21000</v>
      </c>
      <c r="Q45" s="44">
        <f>-B$45*Q$4</f>
        <v>-21500</v>
      </c>
      <c r="R45" s="44">
        <f>-B$45*R$4</f>
        <v>-22000</v>
      </c>
      <c r="S45" s="44">
        <f>-B$45*S$4</f>
        <v>-22500</v>
      </c>
      <c r="T45" s="44">
        <f>-B$45*T$4</f>
        <v>-23000</v>
      </c>
      <c r="U45" s="44">
        <f>-B$45*U$4</f>
        <v>-23500</v>
      </c>
      <c r="V45" s="44">
        <f>-B$45*V$4</f>
        <v>-24000</v>
      </c>
      <c r="W45" s="44">
        <f>-B$45*W$4</f>
        <v>-24500</v>
      </c>
      <c r="X45" s="44">
        <f>-B$45*X$4</f>
        <v>-25000</v>
      </c>
      <c r="Y45" s="44">
        <f>-B$45*Y$4</f>
        <v>-25500</v>
      </c>
      <c r="Z45" s="44">
        <f>-B$45*Z$4</f>
        <v>-26000</v>
      </c>
      <c r="AA45" s="44">
        <f>-B$45*AA$4</f>
        <v>-26500</v>
      </c>
      <c r="AB45" s="44">
        <f>-B$45*AB$4</f>
        <v>-27000</v>
      </c>
      <c r="AC45" s="44">
        <f>-B$45*AC$4</f>
        <v>-27500</v>
      </c>
      <c r="AD45" s="44">
        <f>-B$45*AD$4</f>
        <v>-28000</v>
      </c>
      <c r="AE45" s="44">
        <f>-B$45*AE$4</f>
        <v>-28500</v>
      </c>
      <c r="AF45" s="44">
        <f>-B$45*AF$4</f>
        <v>-29000</v>
      </c>
      <c r="AG45" s="44">
        <f>-B$45*AG$4</f>
        <v>-29500</v>
      </c>
      <c r="AH45" s="44">
        <f>-B$45*AH$4</f>
        <v>-30000</v>
      </c>
      <c r="AI45" s="44">
        <f>-B$45*AI$4</f>
        <v>-30500</v>
      </c>
      <c r="AJ45" s="44">
        <f>-B$45*AJ$4</f>
        <v>-31000</v>
      </c>
      <c r="AK45" s="44">
        <f>-B$45*AK$4</f>
        <v>-31500</v>
      </c>
      <c r="AL45" s="44">
        <f>-B$45*AL$4</f>
        <v>-32000</v>
      </c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</row>
    <row r="46" ht="15.75" customHeight="1">
      <c r="A46" s="30" t="s">
        <v>116</v>
      </c>
      <c r="B46" s="31"/>
      <c r="C46" s="38">
        <f t="shared" ref="C46:AL46" si="19">C3+C29</f>
        <v>-13845</v>
      </c>
      <c r="D46" s="38">
        <f t="shared" si="19"/>
        <v>19425</v>
      </c>
      <c r="E46" s="38">
        <f t="shared" si="19"/>
        <v>86895</v>
      </c>
      <c r="F46" s="38">
        <f t="shared" si="19"/>
        <v>147850</v>
      </c>
      <c r="G46" s="38">
        <f t="shared" si="19"/>
        <v>185975</v>
      </c>
      <c r="H46" s="38">
        <f t="shared" si="19"/>
        <v>237350</v>
      </c>
      <c r="I46" s="38">
        <f t="shared" si="19"/>
        <v>352377</v>
      </c>
      <c r="J46" s="38">
        <f t="shared" si="19"/>
        <v>411453</v>
      </c>
      <c r="K46" s="38">
        <f t="shared" si="19"/>
        <v>440991</v>
      </c>
      <c r="L46" s="38">
        <f t="shared" si="19"/>
        <v>456000</v>
      </c>
      <c r="M46" s="38">
        <f t="shared" si="19"/>
        <v>456000</v>
      </c>
      <c r="N46" s="38">
        <f t="shared" si="19"/>
        <v>456000</v>
      </c>
      <c r="O46" s="38">
        <f t="shared" si="19"/>
        <v>460775</v>
      </c>
      <c r="P46" s="38">
        <f t="shared" si="19"/>
        <v>475550</v>
      </c>
      <c r="Q46" s="38">
        <f t="shared" si="19"/>
        <v>490325</v>
      </c>
      <c r="R46" s="38">
        <f t="shared" si="19"/>
        <v>505100</v>
      </c>
      <c r="S46" s="38">
        <f t="shared" si="19"/>
        <v>519875</v>
      </c>
      <c r="T46" s="38">
        <f t="shared" si="19"/>
        <v>534650</v>
      </c>
      <c r="U46" s="38">
        <f t="shared" si="19"/>
        <v>549425</v>
      </c>
      <c r="V46" s="38">
        <f t="shared" si="19"/>
        <v>564200</v>
      </c>
      <c r="W46" s="38">
        <f t="shared" si="19"/>
        <v>578975</v>
      </c>
      <c r="X46" s="38">
        <f t="shared" si="19"/>
        <v>593750</v>
      </c>
      <c r="Y46" s="38">
        <f t="shared" si="19"/>
        <v>608525</v>
      </c>
      <c r="Z46" s="38">
        <f t="shared" si="19"/>
        <v>659860</v>
      </c>
      <c r="AA46" s="38">
        <f t="shared" si="19"/>
        <v>669665</v>
      </c>
      <c r="AB46" s="38">
        <f t="shared" si="19"/>
        <v>684470</v>
      </c>
      <c r="AC46" s="38">
        <f t="shared" si="19"/>
        <v>699275</v>
      </c>
      <c r="AD46" s="38">
        <f t="shared" si="19"/>
        <v>714080</v>
      </c>
      <c r="AE46" s="38">
        <f t="shared" si="19"/>
        <v>728885</v>
      </c>
      <c r="AF46" s="38">
        <f t="shared" si="19"/>
        <v>743690</v>
      </c>
      <c r="AG46" s="38">
        <f t="shared" si="19"/>
        <v>758495</v>
      </c>
      <c r="AH46" s="38">
        <f t="shared" si="19"/>
        <v>773300</v>
      </c>
      <c r="AI46" s="38">
        <f t="shared" si="19"/>
        <v>788105</v>
      </c>
      <c r="AJ46" s="38">
        <f t="shared" si="19"/>
        <v>802910</v>
      </c>
      <c r="AK46" s="38">
        <f t="shared" si="19"/>
        <v>817715</v>
      </c>
      <c r="AL46" s="38">
        <f t="shared" si="19"/>
        <v>832520</v>
      </c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</row>
    <row r="47" ht="15.75" customHeight="1">
      <c r="A47" s="30" t="s">
        <v>117</v>
      </c>
      <c r="B47" s="31"/>
      <c r="C47" s="38">
        <f t="shared" ref="C47:AL47" si="20">SUM(C48:C51)</f>
        <v>-36960</v>
      </c>
      <c r="D47" s="38">
        <f t="shared" si="20"/>
        <v>-40380</v>
      </c>
      <c r="E47" s="38">
        <f t="shared" si="20"/>
        <v>-50160</v>
      </c>
      <c r="F47" s="38">
        <f t="shared" si="20"/>
        <v>-56880</v>
      </c>
      <c r="G47" s="38">
        <f t="shared" si="20"/>
        <v>-61770</v>
      </c>
      <c r="H47" s="38">
        <f t="shared" si="20"/>
        <v>-66030</v>
      </c>
      <c r="I47" s="38">
        <f t="shared" si="20"/>
        <v>-77715</v>
      </c>
      <c r="J47" s="38">
        <f t="shared" si="20"/>
        <v>-87135</v>
      </c>
      <c r="K47" s="38">
        <f t="shared" si="20"/>
        <v>-91845</v>
      </c>
      <c r="L47" s="38">
        <f t="shared" si="20"/>
        <v>-91500</v>
      </c>
      <c r="M47" s="38">
        <f t="shared" si="20"/>
        <v>-91500</v>
      </c>
      <c r="N47" s="38">
        <f t="shared" si="20"/>
        <v>-91500</v>
      </c>
      <c r="O47" s="38">
        <f t="shared" si="20"/>
        <v>-93787.5</v>
      </c>
      <c r="P47" s="38">
        <f t="shared" si="20"/>
        <v>-96075</v>
      </c>
      <c r="Q47" s="38">
        <f t="shared" si="20"/>
        <v>-98362.5</v>
      </c>
      <c r="R47" s="38">
        <f t="shared" si="20"/>
        <v>-100650</v>
      </c>
      <c r="S47" s="38">
        <f t="shared" si="20"/>
        <v>-102937.5</v>
      </c>
      <c r="T47" s="38">
        <f t="shared" si="20"/>
        <v>-105225</v>
      </c>
      <c r="U47" s="38">
        <f t="shared" si="20"/>
        <v>-107512.5</v>
      </c>
      <c r="V47" s="38">
        <f t="shared" si="20"/>
        <v>-109800</v>
      </c>
      <c r="W47" s="38">
        <f t="shared" si="20"/>
        <v>-112087.5</v>
      </c>
      <c r="X47" s="38">
        <f t="shared" si="20"/>
        <v>-114375</v>
      </c>
      <c r="Y47" s="38">
        <f t="shared" si="20"/>
        <v>-116662.5</v>
      </c>
      <c r="Z47" s="38">
        <f t="shared" si="20"/>
        <v>-101400</v>
      </c>
      <c r="AA47" s="38">
        <f t="shared" si="20"/>
        <v>-103350</v>
      </c>
      <c r="AB47" s="38">
        <f t="shared" si="20"/>
        <v>-105300</v>
      </c>
      <c r="AC47" s="38">
        <f t="shared" si="20"/>
        <v>-107250</v>
      </c>
      <c r="AD47" s="38">
        <f t="shared" si="20"/>
        <v>-109200</v>
      </c>
      <c r="AE47" s="38">
        <f t="shared" si="20"/>
        <v>-111150</v>
      </c>
      <c r="AF47" s="38">
        <f t="shared" si="20"/>
        <v>-113100</v>
      </c>
      <c r="AG47" s="38">
        <f t="shared" si="20"/>
        <v>-115050</v>
      </c>
      <c r="AH47" s="38">
        <f t="shared" si="20"/>
        <v>-117000</v>
      </c>
      <c r="AI47" s="38">
        <f t="shared" si="20"/>
        <v>-118950</v>
      </c>
      <c r="AJ47" s="38">
        <f t="shared" si="20"/>
        <v>-120900</v>
      </c>
      <c r="AK47" s="38">
        <f t="shared" si="20"/>
        <v>-122850</v>
      </c>
      <c r="AL47" s="38">
        <f t="shared" si="20"/>
        <v>-124800</v>
      </c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</row>
    <row r="48" ht="15.75" customHeight="1">
      <c r="A48" s="45" t="s">
        <v>118</v>
      </c>
      <c r="B48" s="35">
        <v>0.005</v>
      </c>
      <c r="C48" s="20">
        <f>-B$48*C$4</f>
        <v>-4150</v>
      </c>
      <c r="D48" s="20">
        <f>-B$48*D$4</f>
        <v>-4450</v>
      </c>
      <c r="E48" s="20">
        <f>-B$48*E$4</f>
        <v>-5150</v>
      </c>
      <c r="F48" s="20">
        <f>-B$48*F$4</f>
        <v>-5700</v>
      </c>
      <c r="G48" s="20">
        <f>-B$48*G$4</f>
        <v>-6050</v>
      </c>
      <c r="H48" s="20">
        <f>-B$48*H$4</f>
        <v>-6700</v>
      </c>
      <c r="I48" s="20">
        <f>-B$48*I$4</f>
        <v>-8250</v>
      </c>
      <c r="J48" s="20">
        <f>-B$48*J$4</f>
        <v>-9250</v>
      </c>
      <c r="K48" s="20">
        <f>-B$48*K$4</f>
        <v>-9750</v>
      </c>
      <c r="L48" s="20">
        <f>-B$48*L$4</f>
        <v>-10000</v>
      </c>
      <c r="M48" s="20">
        <f>-B$48*M$4</f>
        <v>-10000</v>
      </c>
      <c r="N48" s="20">
        <f>-B$48*N$4</f>
        <v>-10000</v>
      </c>
      <c r="O48" s="20">
        <f>-B$48*O$4</f>
        <v>-10250</v>
      </c>
      <c r="P48" s="20">
        <f>-B$48*P$4</f>
        <v>-10500</v>
      </c>
      <c r="Q48" s="20">
        <f>-B$48*Q$4</f>
        <v>-10750</v>
      </c>
      <c r="R48" s="20">
        <f>-B$48*R$4</f>
        <v>-11000</v>
      </c>
      <c r="S48" s="20">
        <f>-B$48*S$4</f>
        <v>-11250</v>
      </c>
      <c r="T48" s="20">
        <f>-B$48*T$4</f>
        <v>-11500</v>
      </c>
      <c r="U48" s="20">
        <f>-B$48*U$4</f>
        <v>-11750</v>
      </c>
      <c r="V48" s="20">
        <f>-B$48*V$4</f>
        <v>-12000</v>
      </c>
      <c r="W48" s="20">
        <f>-B$48*W$4</f>
        <v>-12250</v>
      </c>
      <c r="X48" s="20">
        <f>-B$48*X$4</f>
        <v>-12500</v>
      </c>
      <c r="Y48" s="20">
        <f>-B$48*Y$4</f>
        <v>-12750</v>
      </c>
      <c r="Z48" s="20">
        <f>-B$48*Z$4</f>
        <v>-13000</v>
      </c>
      <c r="AA48" s="20">
        <f>-B$48*AA$4</f>
        <v>-13250</v>
      </c>
      <c r="AB48" s="20">
        <f>-B$48*AB$4</f>
        <v>-13500</v>
      </c>
      <c r="AC48" s="20">
        <f>-B$48*AC$4</f>
        <v>-13750</v>
      </c>
      <c r="AD48" s="20">
        <f>-B$48*AD$4</f>
        <v>-14000</v>
      </c>
      <c r="AE48" s="20">
        <f>-B$48*AE$4</f>
        <v>-14250</v>
      </c>
      <c r="AF48" s="20">
        <f>-B$48*AF$4</f>
        <v>-14500</v>
      </c>
      <c r="AG48" s="20">
        <f>-B$48*AG$4</f>
        <v>-14750</v>
      </c>
      <c r="AH48" s="20">
        <f>-B$48*AH$4</f>
        <v>-15000</v>
      </c>
      <c r="AI48" s="20">
        <f>-B$48*AI$4</f>
        <v>-15250</v>
      </c>
      <c r="AJ48" s="20">
        <f>-B$48*AJ$4</f>
        <v>-15500</v>
      </c>
      <c r="AK48" s="20">
        <f>-B$48*AK$4</f>
        <v>-15750</v>
      </c>
      <c r="AL48" s="20">
        <f>-B$48*AL$4</f>
        <v>-16000</v>
      </c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</row>
    <row r="49" ht="15.75" customHeight="1">
      <c r="A49" s="16" t="s">
        <v>119</v>
      </c>
      <c r="B49" s="46">
        <v>0.007</v>
      </c>
      <c r="C49" s="20">
        <f>-B$49*C$4</f>
        <v>-5810</v>
      </c>
      <c r="D49" s="20">
        <f>-B$49*D$4</f>
        <v>-6230</v>
      </c>
      <c r="E49" s="20">
        <f>-B$49*E$4</f>
        <v>-7210</v>
      </c>
      <c r="F49" s="20">
        <f>-B$49*F$4</f>
        <v>-7980</v>
      </c>
      <c r="G49" s="20">
        <f>-B$49*G$4</f>
        <v>-8470</v>
      </c>
      <c r="H49" s="20">
        <f>-B$49*H$4</f>
        <v>-9380</v>
      </c>
      <c r="I49" s="20">
        <f>-B$49*I$4</f>
        <v>-11550</v>
      </c>
      <c r="J49" s="20">
        <f>-B$49*J$4</f>
        <v>-12950</v>
      </c>
      <c r="K49" s="20">
        <f>-B$49*K$4</f>
        <v>-13650</v>
      </c>
      <c r="L49" s="20">
        <f>-B$49*L$4</f>
        <v>-14000</v>
      </c>
      <c r="M49" s="20">
        <f>-B$49*M$4</f>
        <v>-14000</v>
      </c>
      <c r="N49" s="20">
        <f>-B$49*N$4</f>
        <v>-14000</v>
      </c>
      <c r="O49" s="20">
        <f>-B$49*O$4</f>
        <v>-14350</v>
      </c>
      <c r="P49" s="20">
        <f>-B$49*P$4</f>
        <v>-14700</v>
      </c>
      <c r="Q49" s="20">
        <f>-B$49*Q$4</f>
        <v>-15050</v>
      </c>
      <c r="R49" s="20">
        <f>-B$49*R$4</f>
        <v>-15400</v>
      </c>
      <c r="S49" s="20">
        <f>-B$49*S$4</f>
        <v>-15750</v>
      </c>
      <c r="T49" s="20">
        <f>-B$49*T$4</f>
        <v>-16100</v>
      </c>
      <c r="U49" s="20">
        <f>-B$49*U$4</f>
        <v>-16450</v>
      </c>
      <c r="V49" s="20">
        <f>-B$49*V$4</f>
        <v>-16800</v>
      </c>
      <c r="W49" s="20">
        <f>-B$49*W$4</f>
        <v>-17150</v>
      </c>
      <c r="X49" s="20">
        <f>-B$49*X$4</f>
        <v>-17500</v>
      </c>
      <c r="Y49" s="20">
        <f>-B$49*Y$4</f>
        <v>-17850</v>
      </c>
      <c r="Z49" s="20">
        <f>-B$49*Z$4</f>
        <v>-18200</v>
      </c>
      <c r="AA49" s="20">
        <f>-B$49*AA$4</f>
        <v>-18550</v>
      </c>
      <c r="AB49" s="20">
        <f>-B$49*AB$4</f>
        <v>-18900</v>
      </c>
      <c r="AC49" s="20">
        <f>-B$49*AC$4</f>
        <v>-19250</v>
      </c>
      <c r="AD49" s="20">
        <f>-B$49*AD$4</f>
        <v>-19600</v>
      </c>
      <c r="AE49" s="20">
        <f>-B$49*AE$4</f>
        <v>-19950</v>
      </c>
      <c r="AF49" s="20">
        <f>-B$49*AF$4</f>
        <v>-20300</v>
      </c>
      <c r="AG49" s="20">
        <f>-B$49*AG$4</f>
        <v>-20650</v>
      </c>
      <c r="AH49" s="20">
        <f>-B$49*AH$4</f>
        <v>-21000</v>
      </c>
      <c r="AI49" s="20">
        <f>-B$49*AI$4</f>
        <v>-21350</v>
      </c>
      <c r="AJ49" s="20">
        <f>-B$49*AJ$4</f>
        <v>-21700</v>
      </c>
      <c r="AK49" s="20">
        <f>-B$49*AK$4</f>
        <v>-22050</v>
      </c>
      <c r="AL49" s="20">
        <f>-B$49*AL$4</f>
        <v>-22400</v>
      </c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</row>
    <row r="50" ht="15.75" customHeight="1">
      <c r="A50" s="45" t="s">
        <v>120</v>
      </c>
      <c r="B50" s="47">
        <v>0.135</v>
      </c>
      <c r="C50" s="20">
        <f>-B$50*C$15</f>
        <v>-27000</v>
      </c>
      <c r="D50" s="20">
        <f>-B$50*D$15</f>
        <v>-29700</v>
      </c>
      <c r="E50" s="20">
        <f>-B$50*E$15</f>
        <v>-37800</v>
      </c>
      <c r="F50" s="20">
        <f>-B$50*F$15</f>
        <v>-43200</v>
      </c>
      <c r="G50" s="20">
        <f>-B$50*G$15</f>
        <v>-47250</v>
      </c>
      <c r="H50" s="20">
        <f>-B$50*H$15</f>
        <v>-49950</v>
      </c>
      <c r="I50" s="20">
        <f>-B$50*I$15</f>
        <v>-57915</v>
      </c>
      <c r="J50" s="20">
        <f>-B$50*J$15</f>
        <v>-64935</v>
      </c>
      <c r="K50" s="20">
        <f>-B$50*K$15</f>
        <v>-68445</v>
      </c>
      <c r="L50" s="20">
        <f>-B$50*L$15</f>
        <v>-67500</v>
      </c>
      <c r="M50" s="20">
        <f>-B$50*M$15</f>
        <v>-67500</v>
      </c>
      <c r="N50" s="20">
        <f>-B$50*N$15</f>
        <v>-67500</v>
      </c>
      <c r="O50" s="20">
        <f>-B$50*O$15</f>
        <v>-69187.5</v>
      </c>
      <c r="P50" s="20">
        <f>-B$50*P$15</f>
        <v>-70875</v>
      </c>
      <c r="Q50" s="20">
        <f>-B$50*Q$15</f>
        <v>-72562.5</v>
      </c>
      <c r="R50" s="20">
        <f>-B$50*R$15</f>
        <v>-74250</v>
      </c>
      <c r="S50" s="20">
        <f>-B$50*S$15</f>
        <v>-75937.5</v>
      </c>
      <c r="T50" s="20">
        <f>-B$50*T$15</f>
        <v>-77625</v>
      </c>
      <c r="U50" s="20">
        <f>-B$50*U$15</f>
        <v>-79312.5</v>
      </c>
      <c r="V50" s="20">
        <f>-B$50*V$15</f>
        <v>-81000</v>
      </c>
      <c r="W50" s="20">
        <f>-B$50*W$15</f>
        <v>-82687.5</v>
      </c>
      <c r="X50" s="20">
        <f>-B$50*X$15</f>
        <v>-84375</v>
      </c>
      <c r="Y50" s="20">
        <f>-B$50*Y$15</f>
        <v>-86062.5</v>
      </c>
      <c r="Z50" s="20">
        <f>-B$50*Z$15</f>
        <v>-70200</v>
      </c>
      <c r="AA50" s="20">
        <f>-B$50*AA$15</f>
        <v>-71550</v>
      </c>
      <c r="AB50" s="20">
        <f>-B$50*AB$15</f>
        <v>-72900</v>
      </c>
      <c r="AC50" s="20">
        <f>-B$50*AC$15</f>
        <v>-74250</v>
      </c>
      <c r="AD50" s="20">
        <f>-B$50*AD$15</f>
        <v>-75600</v>
      </c>
      <c r="AE50" s="20">
        <f>-B$50*AE$15</f>
        <v>-76950</v>
      </c>
      <c r="AF50" s="20">
        <f>-B$50*AF$15</f>
        <v>-78300</v>
      </c>
      <c r="AG50" s="20">
        <f>-B$50*AG$15</f>
        <v>-79650</v>
      </c>
      <c r="AH50" s="20">
        <f>-B$50*AH$15</f>
        <v>-81000</v>
      </c>
      <c r="AI50" s="20">
        <f>-B$50*AI$15</f>
        <v>-82350</v>
      </c>
      <c r="AJ50" s="20">
        <f>-B$50*AJ$15</f>
        <v>-83700</v>
      </c>
      <c r="AK50" s="20">
        <f>-B$50*AK$15</f>
        <v>-85050</v>
      </c>
      <c r="AL50" s="20">
        <f>-B$50*AL$15</f>
        <v>-86400</v>
      </c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</row>
    <row r="51" ht="15.75" customHeight="1">
      <c r="A51" s="16" t="s">
        <v>121</v>
      </c>
      <c r="B51" s="48">
        <v>0.0</v>
      </c>
      <c r="C51" s="20">
        <f>-B$51*C$17</f>
        <v>0</v>
      </c>
      <c r="D51" s="20">
        <f>-B$51*D$17</f>
        <v>0</v>
      </c>
      <c r="E51" s="20">
        <f>-B$51*E$17</f>
        <v>0</v>
      </c>
      <c r="F51" s="20">
        <f>-B$51*F$17</f>
        <v>0</v>
      </c>
      <c r="G51" s="20">
        <f>-B$51*G$17</f>
        <v>0</v>
      </c>
      <c r="H51" s="20">
        <f>-B$51*H$17</f>
        <v>0</v>
      </c>
      <c r="I51" s="20">
        <f>-B$51*I$17</f>
        <v>0</v>
      </c>
      <c r="J51" s="20">
        <f>-B$51*J$17</f>
        <v>0</v>
      </c>
      <c r="K51" s="20">
        <f>-B$51*K$17</f>
        <v>0</v>
      </c>
      <c r="L51" s="20">
        <f>-B$51*L$17</f>
        <v>0</v>
      </c>
      <c r="M51" s="20">
        <f>-B$51*M$17</f>
        <v>0</v>
      </c>
      <c r="N51" s="20">
        <f>-B$51*N$17</f>
        <v>0</v>
      </c>
      <c r="O51" s="20">
        <f>-B$51*O$17</f>
        <v>0</v>
      </c>
      <c r="P51" s="20">
        <f>-B$51*P$17</f>
        <v>0</v>
      </c>
      <c r="Q51" s="20">
        <f>-B$51*Q$17</f>
        <v>0</v>
      </c>
      <c r="R51" s="20">
        <f>-B$51*R$17</f>
        <v>0</v>
      </c>
      <c r="S51" s="20">
        <f>-B$51*S$17</f>
        <v>0</v>
      </c>
      <c r="T51" s="20">
        <f>-B$51*T$17</f>
        <v>0</v>
      </c>
      <c r="U51" s="20">
        <f>-B$51*U$17</f>
        <v>0</v>
      </c>
      <c r="V51" s="20">
        <f>-B$51*V$17</f>
        <v>0</v>
      </c>
      <c r="W51" s="20">
        <f>-B$51*W$17</f>
        <v>0</v>
      </c>
      <c r="X51" s="20">
        <f>-B$51*X$17</f>
        <v>0</v>
      </c>
      <c r="Y51" s="20">
        <f>-B$51*Y$17</f>
        <v>0</v>
      </c>
      <c r="Z51" s="20">
        <f>-B$51*Z$17</f>
        <v>0</v>
      </c>
      <c r="AA51" s="20">
        <f>-B$51*AA$17</f>
        <v>0</v>
      </c>
      <c r="AB51" s="20">
        <f>-B$51*AB$17</f>
        <v>0</v>
      </c>
      <c r="AC51" s="20">
        <f>-B$51*AC$17</f>
        <v>0</v>
      </c>
      <c r="AD51" s="20">
        <f>-B$51*AD$17</f>
        <v>0</v>
      </c>
      <c r="AE51" s="20">
        <f>-B$51*AE$17</f>
        <v>0</v>
      </c>
      <c r="AF51" s="20">
        <f>-B$51*AF$17</f>
        <v>0</v>
      </c>
      <c r="AG51" s="20">
        <f>-B$51*AG$17</f>
        <v>0</v>
      </c>
      <c r="AH51" s="20">
        <f>-B$51*AH$17</f>
        <v>0</v>
      </c>
      <c r="AI51" s="20">
        <f>-B$51*AI$17</f>
        <v>0</v>
      </c>
      <c r="AJ51" s="20">
        <f>-B$51*AJ$17</f>
        <v>0</v>
      </c>
      <c r="AK51" s="20">
        <f>-B$51*AK$17</f>
        <v>0</v>
      </c>
      <c r="AL51" s="20">
        <f>-B$51*AL$17</f>
        <v>0</v>
      </c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</row>
    <row r="52" ht="15.75" customHeight="1">
      <c r="A52" s="30" t="s">
        <v>122</v>
      </c>
      <c r="B52" s="31"/>
      <c r="C52" s="38">
        <f t="shared" ref="C52:AL52" si="21">SUM(C46:C47)</f>
        <v>-50805</v>
      </c>
      <c r="D52" s="38">
        <f t="shared" si="21"/>
        <v>-20955</v>
      </c>
      <c r="E52" s="38">
        <f t="shared" si="21"/>
        <v>36735</v>
      </c>
      <c r="F52" s="38">
        <f t="shared" si="21"/>
        <v>90970</v>
      </c>
      <c r="G52" s="38">
        <f t="shared" si="21"/>
        <v>124205</v>
      </c>
      <c r="H52" s="38">
        <f t="shared" si="21"/>
        <v>171320</v>
      </c>
      <c r="I52" s="38">
        <f t="shared" si="21"/>
        <v>274662</v>
      </c>
      <c r="J52" s="38">
        <f t="shared" si="21"/>
        <v>324318</v>
      </c>
      <c r="K52" s="38">
        <f t="shared" si="21"/>
        <v>349146</v>
      </c>
      <c r="L52" s="38">
        <f t="shared" si="21"/>
        <v>364500</v>
      </c>
      <c r="M52" s="38">
        <f t="shared" si="21"/>
        <v>364500</v>
      </c>
      <c r="N52" s="38">
        <f t="shared" si="21"/>
        <v>364500</v>
      </c>
      <c r="O52" s="38">
        <f t="shared" si="21"/>
        <v>366987.5</v>
      </c>
      <c r="P52" s="38">
        <f t="shared" si="21"/>
        <v>379475</v>
      </c>
      <c r="Q52" s="38">
        <f t="shared" si="21"/>
        <v>391962.5</v>
      </c>
      <c r="R52" s="38">
        <f t="shared" si="21"/>
        <v>404450</v>
      </c>
      <c r="S52" s="38">
        <f t="shared" si="21"/>
        <v>416937.5</v>
      </c>
      <c r="T52" s="38">
        <f t="shared" si="21"/>
        <v>429425</v>
      </c>
      <c r="U52" s="38">
        <f t="shared" si="21"/>
        <v>441912.5</v>
      </c>
      <c r="V52" s="38">
        <f t="shared" si="21"/>
        <v>454400</v>
      </c>
      <c r="W52" s="38">
        <f t="shared" si="21"/>
        <v>466887.5</v>
      </c>
      <c r="X52" s="38">
        <f t="shared" si="21"/>
        <v>479375</v>
      </c>
      <c r="Y52" s="38">
        <f t="shared" si="21"/>
        <v>491862.5</v>
      </c>
      <c r="Z52" s="38">
        <f t="shared" si="21"/>
        <v>558460</v>
      </c>
      <c r="AA52" s="38">
        <f t="shared" si="21"/>
        <v>566315</v>
      </c>
      <c r="AB52" s="38">
        <f t="shared" si="21"/>
        <v>579170</v>
      </c>
      <c r="AC52" s="38">
        <f t="shared" si="21"/>
        <v>592025</v>
      </c>
      <c r="AD52" s="38">
        <f t="shared" si="21"/>
        <v>604880</v>
      </c>
      <c r="AE52" s="38">
        <f t="shared" si="21"/>
        <v>617735</v>
      </c>
      <c r="AF52" s="38">
        <f t="shared" si="21"/>
        <v>630590</v>
      </c>
      <c r="AG52" s="38">
        <f t="shared" si="21"/>
        <v>643445</v>
      </c>
      <c r="AH52" s="38">
        <f t="shared" si="21"/>
        <v>656300</v>
      </c>
      <c r="AI52" s="38">
        <f t="shared" si="21"/>
        <v>669155</v>
      </c>
      <c r="AJ52" s="38">
        <f t="shared" si="21"/>
        <v>682010</v>
      </c>
      <c r="AK52" s="38">
        <f t="shared" si="21"/>
        <v>694865</v>
      </c>
      <c r="AL52" s="38">
        <f t="shared" si="21"/>
        <v>707720</v>
      </c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</row>
    <row r="53" ht="15.75" customHeight="1">
      <c r="A53" s="49" t="s">
        <v>123</v>
      </c>
      <c r="B53" s="50">
        <v>0.033</v>
      </c>
      <c r="C53" s="38">
        <f>-B$53*C$4</f>
        <v>-27390</v>
      </c>
      <c r="D53" s="38">
        <f>-B$53*D$4</f>
        <v>-29370</v>
      </c>
      <c r="E53" s="38">
        <f>-B$53*E$4</f>
        <v>-33990</v>
      </c>
      <c r="F53" s="38">
        <f>-B$53*F$4</f>
        <v>-37620</v>
      </c>
      <c r="G53" s="38">
        <f>-B$53*G$4</f>
        <v>-39930</v>
      </c>
      <c r="H53" s="38">
        <f>-B$53*H$4</f>
        <v>-44220</v>
      </c>
      <c r="I53" s="38">
        <f>-B$53*I$4</f>
        <v>-54450</v>
      </c>
      <c r="J53" s="38">
        <f>-B$53*J$4</f>
        <v>-61050</v>
      </c>
      <c r="K53" s="38">
        <f>-B$53*K$4</f>
        <v>-64350</v>
      </c>
      <c r="L53" s="38">
        <f>-B$53*L$4</f>
        <v>-66000</v>
      </c>
      <c r="M53" s="38">
        <f>-B$53*M$4</f>
        <v>-66000</v>
      </c>
      <c r="N53" s="38">
        <f>-B$53*N$4</f>
        <v>-66000</v>
      </c>
      <c r="O53" s="38">
        <f>-B$53*O$4</f>
        <v>-67650</v>
      </c>
      <c r="P53" s="38">
        <f>-B$53*P$4</f>
        <v>-69300</v>
      </c>
      <c r="Q53" s="38">
        <f>-B$53*Q$4</f>
        <v>-70950</v>
      </c>
      <c r="R53" s="38">
        <f>-B$53*R$4</f>
        <v>-72600</v>
      </c>
      <c r="S53" s="38">
        <f>-B$53*S$4</f>
        <v>-74250</v>
      </c>
      <c r="T53" s="38">
        <f>-B$53*T$4</f>
        <v>-75900</v>
      </c>
      <c r="U53" s="38">
        <f>-B$53*U$4</f>
        <v>-77550</v>
      </c>
      <c r="V53" s="38">
        <f>-B$53*V$4</f>
        <v>-79200</v>
      </c>
      <c r="W53" s="38">
        <f>-B$53*W$4</f>
        <v>-80850</v>
      </c>
      <c r="X53" s="38">
        <f>-B$53*X$4</f>
        <v>-82500</v>
      </c>
      <c r="Y53" s="38">
        <f>-B$53*Y$4</f>
        <v>-84150</v>
      </c>
      <c r="Z53" s="38">
        <f>-B$53*Z$4</f>
        <v>-85800</v>
      </c>
      <c r="AA53" s="38">
        <f>-B$53*AA$4</f>
        <v>-87450</v>
      </c>
      <c r="AB53" s="38">
        <f>-B$53*AB$4</f>
        <v>-89100</v>
      </c>
      <c r="AC53" s="38">
        <f>-B$53*AC$4</f>
        <v>-90750</v>
      </c>
      <c r="AD53" s="38">
        <f>-B$53*AD$4</f>
        <v>-92400</v>
      </c>
      <c r="AE53" s="38">
        <f>-B$53*AE$4</f>
        <v>-94050</v>
      </c>
      <c r="AF53" s="38">
        <f>-B$53*AF$4</f>
        <v>-95700</v>
      </c>
      <c r="AG53" s="38">
        <f>-B$53*AG$4</f>
        <v>-97350</v>
      </c>
      <c r="AH53" s="38">
        <f>-B$53*AH$4</f>
        <v>-99000</v>
      </c>
      <c r="AI53" s="38">
        <f>-B$53*AI$4</f>
        <v>-100650</v>
      </c>
      <c r="AJ53" s="38">
        <f>-B$53*AJ$4</f>
        <v>-102300</v>
      </c>
      <c r="AK53" s="38">
        <f>-B$53*AK$4</f>
        <v>-103950</v>
      </c>
      <c r="AL53" s="38">
        <f>-B$53*AL$4</f>
        <v>-105600</v>
      </c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</row>
    <row r="54" ht="15.75" customHeight="1">
      <c r="A54" s="30" t="s">
        <v>124</v>
      </c>
      <c r="B54" s="38">
        <f>SUM(C54:AL54)</f>
        <v>12650071</v>
      </c>
      <c r="C54" s="38">
        <f t="shared" ref="C54:AL54" si="22">SUM(C52:C53)</f>
        <v>-78195</v>
      </c>
      <c r="D54" s="38">
        <f t="shared" si="22"/>
        <v>-50325</v>
      </c>
      <c r="E54" s="38">
        <f t="shared" si="22"/>
        <v>2745</v>
      </c>
      <c r="F54" s="38">
        <f t="shared" si="22"/>
        <v>53350</v>
      </c>
      <c r="G54" s="38">
        <f t="shared" si="22"/>
        <v>84275</v>
      </c>
      <c r="H54" s="38">
        <f t="shared" si="22"/>
        <v>127100</v>
      </c>
      <c r="I54" s="38">
        <f t="shared" si="22"/>
        <v>220212</v>
      </c>
      <c r="J54" s="38">
        <f t="shared" si="22"/>
        <v>263268</v>
      </c>
      <c r="K54" s="38">
        <f t="shared" si="22"/>
        <v>284796</v>
      </c>
      <c r="L54" s="38">
        <f t="shared" si="22"/>
        <v>298500</v>
      </c>
      <c r="M54" s="38">
        <f t="shared" si="22"/>
        <v>298500</v>
      </c>
      <c r="N54" s="38">
        <f t="shared" si="22"/>
        <v>298500</v>
      </c>
      <c r="O54" s="38">
        <f t="shared" si="22"/>
        <v>299337.5</v>
      </c>
      <c r="P54" s="38">
        <f t="shared" si="22"/>
        <v>310175</v>
      </c>
      <c r="Q54" s="38">
        <f t="shared" si="22"/>
        <v>321012.5</v>
      </c>
      <c r="R54" s="38">
        <f t="shared" si="22"/>
        <v>331850</v>
      </c>
      <c r="S54" s="38">
        <f t="shared" si="22"/>
        <v>342687.5</v>
      </c>
      <c r="T54" s="38">
        <f t="shared" si="22"/>
        <v>353525</v>
      </c>
      <c r="U54" s="38">
        <f t="shared" si="22"/>
        <v>364362.5</v>
      </c>
      <c r="V54" s="38">
        <f t="shared" si="22"/>
        <v>375200</v>
      </c>
      <c r="W54" s="38">
        <f t="shared" si="22"/>
        <v>386037.5</v>
      </c>
      <c r="X54" s="38">
        <f t="shared" si="22"/>
        <v>396875</v>
      </c>
      <c r="Y54" s="38">
        <f t="shared" si="22"/>
        <v>407712.5</v>
      </c>
      <c r="Z54" s="38">
        <f t="shared" si="22"/>
        <v>472660</v>
      </c>
      <c r="AA54" s="38">
        <f t="shared" si="22"/>
        <v>478865</v>
      </c>
      <c r="AB54" s="38">
        <f t="shared" si="22"/>
        <v>490070</v>
      </c>
      <c r="AC54" s="38">
        <f t="shared" si="22"/>
        <v>501275</v>
      </c>
      <c r="AD54" s="38">
        <f t="shared" si="22"/>
        <v>512480</v>
      </c>
      <c r="AE54" s="38">
        <f t="shared" si="22"/>
        <v>523685</v>
      </c>
      <c r="AF54" s="38">
        <f t="shared" si="22"/>
        <v>534890</v>
      </c>
      <c r="AG54" s="38">
        <f t="shared" si="22"/>
        <v>546095</v>
      </c>
      <c r="AH54" s="38">
        <f t="shared" si="22"/>
        <v>557300</v>
      </c>
      <c r="AI54" s="38">
        <f t="shared" si="22"/>
        <v>568505</v>
      </c>
      <c r="AJ54" s="38">
        <f t="shared" si="22"/>
        <v>579710</v>
      </c>
      <c r="AK54" s="38">
        <f t="shared" si="22"/>
        <v>590915</v>
      </c>
      <c r="AL54" s="38">
        <f t="shared" si="22"/>
        <v>602120</v>
      </c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</row>
    <row r="55" ht="15.75" customHeight="1">
      <c r="A55" s="51" t="s">
        <v>125</v>
      </c>
      <c r="B55" s="51"/>
      <c r="C55" s="52">
        <f t="shared" ref="C55:AL55" si="23">IFERROR(C54/C4,0)</f>
        <v>-0.09421084337</v>
      </c>
      <c r="D55" s="52">
        <f t="shared" si="23"/>
        <v>-0.05654494382</v>
      </c>
      <c r="E55" s="52">
        <f t="shared" si="23"/>
        <v>0.002665048544</v>
      </c>
      <c r="F55" s="52">
        <f t="shared" si="23"/>
        <v>0.04679824561</v>
      </c>
      <c r="G55" s="52">
        <f t="shared" si="23"/>
        <v>0.06964876033</v>
      </c>
      <c r="H55" s="52">
        <f t="shared" si="23"/>
        <v>0.09485074627</v>
      </c>
      <c r="I55" s="52">
        <f t="shared" si="23"/>
        <v>0.1334618182</v>
      </c>
      <c r="J55" s="52">
        <f t="shared" si="23"/>
        <v>0.142307027</v>
      </c>
      <c r="K55" s="52">
        <f t="shared" si="23"/>
        <v>0.1460492308</v>
      </c>
      <c r="L55" s="52">
        <f t="shared" si="23"/>
        <v>0.14925</v>
      </c>
      <c r="M55" s="52">
        <f t="shared" si="23"/>
        <v>0.14925</v>
      </c>
      <c r="N55" s="52">
        <f t="shared" si="23"/>
        <v>0.14925</v>
      </c>
      <c r="O55" s="52">
        <f t="shared" si="23"/>
        <v>0.1460182927</v>
      </c>
      <c r="P55" s="52">
        <f t="shared" si="23"/>
        <v>0.147702381</v>
      </c>
      <c r="Q55" s="52">
        <f t="shared" si="23"/>
        <v>0.1493081395</v>
      </c>
      <c r="R55" s="52">
        <f t="shared" si="23"/>
        <v>0.1508409091</v>
      </c>
      <c r="S55" s="52">
        <f t="shared" si="23"/>
        <v>0.1523055556</v>
      </c>
      <c r="T55" s="52">
        <f t="shared" si="23"/>
        <v>0.1537065217</v>
      </c>
      <c r="U55" s="52">
        <f t="shared" si="23"/>
        <v>0.1550478723</v>
      </c>
      <c r="V55" s="52">
        <f t="shared" si="23"/>
        <v>0.1563333333</v>
      </c>
      <c r="W55" s="52">
        <f t="shared" si="23"/>
        <v>0.1575663265</v>
      </c>
      <c r="X55" s="52">
        <f t="shared" si="23"/>
        <v>0.15875</v>
      </c>
      <c r="Y55" s="52">
        <f t="shared" si="23"/>
        <v>0.1598872549</v>
      </c>
      <c r="Z55" s="52">
        <f t="shared" si="23"/>
        <v>0.1817923077</v>
      </c>
      <c r="AA55" s="52">
        <f t="shared" si="23"/>
        <v>0.1807037736</v>
      </c>
      <c r="AB55" s="52">
        <f t="shared" si="23"/>
        <v>0.1815074074</v>
      </c>
      <c r="AC55" s="52">
        <f t="shared" si="23"/>
        <v>0.1822818182</v>
      </c>
      <c r="AD55" s="52">
        <f t="shared" si="23"/>
        <v>0.1830285714</v>
      </c>
      <c r="AE55" s="52">
        <f t="shared" si="23"/>
        <v>0.1837491228</v>
      </c>
      <c r="AF55" s="52">
        <f t="shared" si="23"/>
        <v>0.1844448276</v>
      </c>
      <c r="AG55" s="52">
        <f t="shared" si="23"/>
        <v>0.1851169492</v>
      </c>
      <c r="AH55" s="52">
        <f t="shared" si="23"/>
        <v>0.1857666667</v>
      </c>
      <c r="AI55" s="52">
        <f t="shared" si="23"/>
        <v>0.186395082</v>
      </c>
      <c r="AJ55" s="52">
        <f t="shared" si="23"/>
        <v>0.1870032258</v>
      </c>
      <c r="AK55" s="52">
        <f t="shared" si="23"/>
        <v>0.1875920635</v>
      </c>
      <c r="AL55" s="52">
        <f t="shared" si="23"/>
        <v>0.1881625</v>
      </c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</row>
    <row r="57" ht="15.75" customHeight="1">
      <c r="A57" s="4"/>
      <c r="B57" s="4"/>
      <c r="C57" s="53">
        <f>'Смета открытия_Стрит+Самовывоз '!G13</f>
        <v>5617000</v>
      </c>
      <c r="D57" s="51" t="s">
        <v>126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</row>
    <row r="59" ht="15.75" customHeight="1">
      <c r="A59" s="4"/>
      <c r="B59" s="4"/>
      <c r="C59" s="54">
        <f>COUNT(C54:AL54)+((C57-(B54+C54))/AL54)</f>
        <v>24.44935229</v>
      </c>
      <c r="D59" s="55" t="s">
        <v>127</v>
      </c>
      <c r="E59" s="55" t="s">
        <v>128</v>
      </c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</row>
    <row r="60" ht="15.75" customHeight="1">
      <c r="A60" s="4"/>
      <c r="B60" s="4"/>
      <c r="C60" s="5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</row>
    <row r="61" ht="15.75" customHeight="1">
      <c r="A61" s="55" t="s">
        <v>129</v>
      </c>
      <c r="B61" s="4"/>
      <c r="C61" s="58">
        <f>C54-C57</f>
        <v>-5695195</v>
      </c>
      <c r="D61" s="58">
        <f t="shared" ref="D61:AL61" si="24">C61+D54</f>
        <v>-5745520</v>
      </c>
      <c r="E61" s="58">
        <f t="shared" si="24"/>
        <v>-5742775</v>
      </c>
      <c r="F61" s="58">
        <f t="shared" si="24"/>
        <v>-5689425</v>
      </c>
      <c r="G61" s="58">
        <f t="shared" si="24"/>
        <v>-5605150</v>
      </c>
      <c r="H61" s="58">
        <f t="shared" si="24"/>
        <v>-5478050</v>
      </c>
      <c r="I61" s="58">
        <f t="shared" si="24"/>
        <v>-5257838</v>
      </c>
      <c r="J61" s="58">
        <f t="shared" si="24"/>
        <v>-4994570</v>
      </c>
      <c r="K61" s="58">
        <f t="shared" si="24"/>
        <v>-4709774</v>
      </c>
      <c r="L61" s="58">
        <f t="shared" si="24"/>
        <v>-4411274</v>
      </c>
      <c r="M61" s="58">
        <f t="shared" si="24"/>
        <v>-4112774</v>
      </c>
      <c r="N61" s="58">
        <f t="shared" si="24"/>
        <v>-3814274</v>
      </c>
      <c r="O61" s="58">
        <f t="shared" si="24"/>
        <v>-3514936.5</v>
      </c>
      <c r="P61" s="58">
        <f t="shared" si="24"/>
        <v>-3204761.5</v>
      </c>
      <c r="Q61" s="58">
        <f t="shared" si="24"/>
        <v>-2883749</v>
      </c>
      <c r="R61" s="58">
        <f t="shared" si="24"/>
        <v>-2551899</v>
      </c>
      <c r="S61" s="58">
        <f t="shared" si="24"/>
        <v>-2209211.5</v>
      </c>
      <c r="T61" s="58">
        <f t="shared" si="24"/>
        <v>-1855686.5</v>
      </c>
      <c r="U61" s="58">
        <f t="shared" si="24"/>
        <v>-1491324</v>
      </c>
      <c r="V61" s="58">
        <f t="shared" si="24"/>
        <v>-1116124</v>
      </c>
      <c r="W61" s="58">
        <f t="shared" si="24"/>
        <v>-730086.5</v>
      </c>
      <c r="X61" s="58">
        <f t="shared" si="24"/>
        <v>-333211.5</v>
      </c>
      <c r="Y61" s="58">
        <f t="shared" si="24"/>
        <v>74501</v>
      </c>
      <c r="Z61" s="58">
        <f t="shared" si="24"/>
        <v>547161</v>
      </c>
      <c r="AA61" s="58">
        <f t="shared" si="24"/>
        <v>1026026</v>
      </c>
      <c r="AB61" s="58">
        <f t="shared" si="24"/>
        <v>1516096</v>
      </c>
      <c r="AC61" s="58">
        <f t="shared" si="24"/>
        <v>2017371</v>
      </c>
      <c r="AD61" s="58">
        <f t="shared" si="24"/>
        <v>2529851</v>
      </c>
      <c r="AE61" s="58">
        <f t="shared" si="24"/>
        <v>3053536</v>
      </c>
      <c r="AF61" s="58">
        <f t="shared" si="24"/>
        <v>3588426</v>
      </c>
      <c r="AG61" s="58">
        <f t="shared" si="24"/>
        <v>4134521</v>
      </c>
      <c r="AH61" s="58">
        <f t="shared" si="24"/>
        <v>4691821</v>
      </c>
      <c r="AI61" s="58">
        <f t="shared" si="24"/>
        <v>5260326</v>
      </c>
      <c r="AJ61" s="58">
        <f t="shared" si="24"/>
        <v>5840036</v>
      </c>
      <c r="AK61" s="58">
        <f t="shared" si="24"/>
        <v>6430951</v>
      </c>
      <c r="AL61" s="58">
        <f t="shared" si="24"/>
        <v>7033071</v>
      </c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57:F57"/>
    <mergeCell ref="E59:G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1.75"/>
    <col customWidth="1" min="2" max="3" width="19.63"/>
    <col customWidth="1" min="4" max="6" width="12.63"/>
  </cols>
  <sheetData>
    <row r="1" ht="33.0" customHeight="1">
      <c r="A1" s="60" t="s">
        <v>130</v>
      </c>
      <c r="B1" s="61" t="s">
        <v>131</v>
      </c>
      <c r="C1" s="62" t="s">
        <v>132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5.75" customHeight="1">
      <c r="A2" s="64" t="s">
        <v>36</v>
      </c>
      <c r="B2" s="65" t="s">
        <v>133</v>
      </c>
      <c r="C2" s="66" t="s">
        <v>134</v>
      </c>
    </row>
    <row r="3" ht="15.75" customHeight="1">
      <c r="A3" s="67" t="s">
        <v>135</v>
      </c>
      <c r="B3" s="68">
        <v>2500000.0</v>
      </c>
      <c r="C3" s="69"/>
    </row>
    <row r="4" ht="15.75" customHeight="1">
      <c r="A4" s="70" t="s">
        <v>136</v>
      </c>
      <c r="B4" s="71"/>
      <c r="C4" s="72"/>
    </row>
    <row r="5" ht="15.75" customHeight="1">
      <c r="A5" s="73" t="s">
        <v>137</v>
      </c>
      <c r="B5" s="74">
        <f>B3*C5</f>
        <v>2000000</v>
      </c>
      <c r="C5" s="75">
        <v>0.8</v>
      </c>
    </row>
    <row r="6" ht="15.75" customHeight="1">
      <c r="A6" s="76" t="s">
        <v>138</v>
      </c>
      <c r="B6" s="74">
        <f>C6*B3</f>
        <v>500000</v>
      </c>
      <c r="C6" s="75">
        <v>0.2</v>
      </c>
    </row>
    <row r="7" ht="15.75" customHeight="1">
      <c r="A7" s="70" t="s">
        <v>139</v>
      </c>
      <c r="B7" s="77">
        <f>SUM(B8:B9)</f>
        <v>-38500</v>
      </c>
      <c r="C7" s="72">
        <f>B7/$B$3</f>
        <v>-0.0154</v>
      </c>
    </row>
    <row r="8" ht="15.75" customHeight="1">
      <c r="A8" s="76" t="s">
        <v>140</v>
      </c>
      <c r="B8" s="78">
        <f>B6*C8</f>
        <v>-12500</v>
      </c>
      <c r="C8" s="79">
        <v>-0.025</v>
      </c>
    </row>
    <row r="9" ht="15.75" customHeight="1">
      <c r="A9" s="80" t="s">
        <v>141</v>
      </c>
      <c r="B9" s="81">
        <f>B5*C9</f>
        <v>-26000</v>
      </c>
      <c r="C9" s="82">
        <v>-0.013</v>
      </c>
    </row>
    <row r="10" ht="15.75" customHeight="1">
      <c r="A10" s="67" t="s">
        <v>142</v>
      </c>
      <c r="B10" s="83">
        <f>SUM(B3,B7)</f>
        <v>2461500</v>
      </c>
      <c r="C10" s="84">
        <f t="shared" ref="C10:C11" si="1">B10/$B$3</f>
        <v>0.9846</v>
      </c>
    </row>
    <row r="11" ht="15.75" customHeight="1">
      <c r="A11" s="70" t="s">
        <v>143</v>
      </c>
      <c r="B11" s="77">
        <f>SUM(B12:B14)</f>
        <v>-800000</v>
      </c>
      <c r="C11" s="72">
        <f t="shared" si="1"/>
        <v>-0.32</v>
      </c>
    </row>
    <row r="12" ht="15.75" customHeight="1">
      <c r="A12" s="73" t="s">
        <v>144</v>
      </c>
      <c r="B12" s="78">
        <f>-B3*C12</f>
        <v>-645000</v>
      </c>
      <c r="C12" s="79">
        <v>0.258</v>
      </c>
      <c r="E12" s="85"/>
    </row>
    <row r="13" ht="15.75" customHeight="1">
      <c r="A13" s="73" t="s">
        <v>145</v>
      </c>
      <c r="B13" s="78">
        <f>-B3*C13</f>
        <v>-137500</v>
      </c>
      <c r="C13" s="79">
        <v>0.055</v>
      </c>
      <c r="E13" s="85"/>
    </row>
    <row r="14" ht="15.75" customHeight="1">
      <c r="A14" s="73" t="s">
        <v>146</v>
      </c>
      <c r="B14" s="78">
        <f>-B3*C14</f>
        <v>-17500</v>
      </c>
      <c r="C14" s="79">
        <v>0.007</v>
      </c>
    </row>
    <row r="15" ht="15.75" customHeight="1">
      <c r="A15" s="86" t="s">
        <v>147</v>
      </c>
      <c r="B15" s="77">
        <f>SUM(B16:B18)</f>
        <v>-175000</v>
      </c>
      <c r="C15" s="72">
        <f>B15/$B$3</f>
        <v>-0.07</v>
      </c>
    </row>
    <row r="16" ht="15.75" customHeight="1">
      <c r="A16" s="87" t="s">
        <v>148</v>
      </c>
      <c r="B16" s="78">
        <f>C16*B3</f>
        <v>-150000</v>
      </c>
      <c r="C16" s="88">
        <v>-0.06</v>
      </c>
    </row>
    <row r="17" ht="15.75" customHeight="1">
      <c r="A17" s="89" t="s">
        <v>149</v>
      </c>
      <c r="B17" s="78">
        <f>B3*C17</f>
        <v>0</v>
      </c>
      <c r="C17" s="88">
        <v>0.0</v>
      </c>
    </row>
    <row r="18" ht="15.75" customHeight="1">
      <c r="A18" s="90" t="s">
        <v>150</v>
      </c>
      <c r="B18" s="81">
        <f>B3*C18</f>
        <v>-25000</v>
      </c>
      <c r="C18" s="82">
        <v>-0.01</v>
      </c>
    </row>
    <row r="19" ht="15.75" customHeight="1">
      <c r="A19" s="67" t="s">
        <v>151</v>
      </c>
      <c r="B19" s="83">
        <f>SUM(B10,B11,B15)</f>
        <v>1486500</v>
      </c>
      <c r="C19" s="84">
        <f t="shared" ref="C19:C20" si="2">B19/$B$3</f>
        <v>0.5946</v>
      </c>
    </row>
    <row r="20" ht="15.75" customHeight="1">
      <c r="A20" s="91" t="s">
        <v>152</v>
      </c>
      <c r="B20" s="77">
        <f>SUM(B21:B26)</f>
        <v>-756250</v>
      </c>
      <c r="C20" s="72">
        <f t="shared" si="2"/>
        <v>-0.3025</v>
      </c>
    </row>
    <row r="21" ht="15.75" customHeight="1">
      <c r="A21" s="92" t="s">
        <v>153</v>
      </c>
      <c r="B21" s="78">
        <f>B3*C21</f>
        <v>-400000</v>
      </c>
      <c r="C21" s="79">
        <v>-0.16</v>
      </c>
    </row>
    <row r="22" ht="15.75" customHeight="1">
      <c r="A22" s="92" t="s">
        <v>108</v>
      </c>
      <c r="B22" s="78">
        <f>B3*C22</f>
        <v>-200000</v>
      </c>
      <c r="C22" s="79">
        <v>-0.08</v>
      </c>
    </row>
    <row r="23" ht="15.75" customHeight="1">
      <c r="A23" s="92" t="s">
        <v>154</v>
      </c>
      <c r="B23" s="78">
        <f>B3*C23</f>
        <v>-43750</v>
      </c>
      <c r="C23" s="79">
        <v>-0.0175</v>
      </c>
    </row>
    <row r="24" ht="15.75" customHeight="1">
      <c r="A24" s="92" t="s">
        <v>155</v>
      </c>
      <c r="B24" s="93">
        <f>B3*C24</f>
        <v>-20000</v>
      </c>
      <c r="C24" s="79">
        <v>-0.008</v>
      </c>
    </row>
    <row r="25" ht="15.75" customHeight="1">
      <c r="A25" s="73" t="s">
        <v>120</v>
      </c>
      <c r="B25" s="78">
        <f>B6*C25</f>
        <v>-67500</v>
      </c>
      <c r="C25" s="79">
        <v>-0.135</v>
      </c>
    </row>
    <row r="26" ht="15.75" customHeight="1">
      <c r="A26" s="73" t="s">
        <v>156</v>
      </c>
      <c r="B26" s="78">
        <f>B3*C26</f>
        <v>-25000</v>
      </c>
      <c r="C26" s="94">
        <v>-0.01</v>
      </c>
      <c r="F26" s="95"/>
    </row>
    <row r="27" ht="15.75" customHeight="1">
      <c r="A27" s="91" t="s">
        <v>157</v>
      </c>
      <c r="B27" s="77">
        <f>SUM(B28:B37)</f>
        <v>-238500</v>
      </c>
      <c r="C27" s="72">
        <f>B27/$B$3</f>
        <v>-0.0954</v>
      </c>
      <c r="F27" s="95"/>
    </row>
    <row r="28" ht="15.75" customHeight="1">
      <c r="A28" s="92" t="s">
        <v>158</v>
      </c>
      <c r="B28" s="96">
        <v>-105000.0</v>
      </c>
      <c r="C28" s="94">
        <f>B28/B3</f>
        <v>-0.042</v>
      </c>
      <c r="F28" s="95"/>
    </row>
    <row r="29" ht="15.75" customHeight="1">
      <c r="A29" s="97" t="s">
        <v>159</v>
      </c>
      <c r="B29" s="96">
        <v>-35000.0</v>
      </c>
      <c r="C29" s="94">
        <f>B29/B3</f>
        <v>-0.014</v>
      </c>
      <c r="F29" s="95"/>
    </row>
    <row r="30" ht="15.75" customHeight="1">
      <c r="A30" s="92" t="s">
        <v>160</v>
      </c>
      <c r="B30" s="78">
        <v>0.0</v>
      </c>
      <c r="C30" s="94">
        <f>B30/B3</f>
        <v>0</v>
      </c>
      <c r="F30" s="95"/>
    </row>
    <row r="31" ht="15.75" customHeight="1">
      <c r="A31" s="92" t="s">
        <v>161</v>
      </c>
      <c r="B31" s="78">
        <f>C31*B3</f>
        <v>-12500</v>
      </c>
      <c r="C31" s="79">
        <v>-0.005</v>
      </c>
      <c r="F31" s="95"/>
    </row>
    <row r="32" ht="15.75" customHeight="1">
      <c r="A32" s="92" t="s">
        <v>162</v>
      </c>
      <c r="B32" s="78">
        <f>C32*B3</f>
        <v>-1250</v>
      </c>
      <c r="C32" s="94">
        <v>-5.0E-4</v>
      </c>
      <c r="F32" s="95"/>
    </row>
    <row r="33" ht="15.75" customHeight="1">
      <c r="A33" s="92" t="s">
        <v>163</v>
      </c>
      <c r="B33" s="78">
        <f>C33*B3</f>
        <v>-25000</v>
      </c>
      <c r="C33" s="79">
        <v>-0.01</v>
      </c>
      <c r="F33" s="95"/>
    </row>
    <row r="34" ht="15.75" customHeight="1">
      <c r="A34" s="92" t="s">
        <v>164</v>
      </c>
      <c r="B34" s="78">
        <f>C34*B3</f>
        <v>-25000</v>
      </c>
      <c r="C34" s="79">
        <v>-0.01</v>
      </c>
      <c r="F34" s="95"/>
    </row>
    <row r="35" ht="15.75" customHeight="1">
      <c r="A35" s="92" t="s">
        <v>165</v>
      </c>
      <c r="B35" s="78">
        <f>C35*B3</f>
        <v>-11250</v>
      </c>
      <c r="C35" s="79">
        <v>-0.0045</v>
      </c>
      <c r="F35" s="95"/>
    </row>
    <row r="36" ht="15.75" customHeight="1">
      <c r="A36" s="92" t="s">
        <v>166</v>
      </c>
      <c r="B36" s="78">
        <f>C36*B3</f>
        <v>-6000</v>
      </c>
      <c r="C36" s="79">
        <v>-0.0024</v>
      </c>
    </row>
    <row r="37" ht="15.75" customHeight="1">
      <c r="A37" s="98" t="s">
        <v>167</v>
      </c>
      <c r="B37" s="78">
        <f>C37*B3</f>
        <v>-17500</v>
      </c>
      <c r="C37" s="82">
        <v>-0.007</v>
      </c>
    </row>
    <row r="38" ht="15.75" customHeight="1">
      <c r="A38" s="99" t="s">
        <v>168</v>
      </c>
      <c r="B38" s="83">
        <f>SUM(B19,B20,B27)</f>
        <v>491750</v>
      </c>
      <c r="C38" s="84">
        <f>B38/$B$3</f>
        <v>0.1967</v>
      </c>
    </row>
    <row r="39" ht="15.75" customHeight="1">
      <c r="A39" s="98" t="s">
        <v>169</v>
      </c>
      <c r="B39" s="81">
        <f>-C39*B3</f>
        <v>-82500</v>
      </c>
      <c r="C39" s="82">
        <v>0.033</v>
      </c>
    </row>
    <row r="40" ht="15.75" customHeight="1">
      <c r="A40" s="100" t="s">
        <v>170</v>
      </c>
      <c r="B40" s="101">
        <f>SUM(B38,B39)</f>
        <v>409250</v>
      </c>
      <c r="C40" s="102">
        <f>B40/$B$3</f>
        <v>0.1637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5.38"/>
    <col customWidth="1" min="3" max="3" width="12.63"/>
    <col customWidth="1" min="4" max="4" width="10.0"/>
    <col customWidth="1" min="5" max="5" width="12.63"/>
    <col customWidth="1" min="6" max="6" width="13.13"/>
  </cols>
  <sheetData>
    <row r="1" ht="15.75" customHeight="1">
      <c r="A1" s="103" t="s">
        <v>171</v>
      </c>
      <c r="B1" s="104"/>
      <c r="C1" s="104"/>
      <c r="D1" s="104"/>
      <c r="E1" s="104"/>
      <c r="F1" s="104"/>
      <c r="G1" s="105"/>
    </row>
    <row r="2" ht="15.75" customHeight="1">
      <c r="A2" s="106"/>
      <c r="B2" s="107"/>
      <c r="C2" s="107"/>
      <c r="D2" s="108"/>
      <c r="E2" s="108"/>
      <c r="F2" s="109"/>
      <c r="G2" s="110"/>
    </row>
    <row r="3" ht="15.75" customHeight="1">
      <c r="A3" s="111" t="s">
        <v>172</v>
      </c>
      <c r="B3" s="112"/>
      <c r="C3" s="113"/>
      <c r="D3" s="114" t="s">
        <v>173</v>
      </c>
      <c r="E3" s="113"/>
      <c r="F3" s="115" t="s">
        <v>174</v>
      </c>
      <c r="G3" s="116"/>
    </row>
    <row r="4" ht="15.75" customHeight="1">
      <c r="A4" s="117">
        <v>1.0</v>
      </c>
      <c r="B4" s="118" t="s">
        <v>175</v>
      </c>
      <c r="C4" s="119"/>
      <c r="D4" s="120">
        <f>G23</f>
        <v>350000</v>
      </c>
      <c r="E4" s="119"/>
      <c r="F4" s="121">
        <f>D4/G13</f>
        <v>0.06231084209</v>
      </c>
      <c r="G4" s="122"/>
    </row>
    <row r="5" ht="15.75" customHeight="1">
      <c r="A5" s="117">
        <v>2.0</v>
      </c>
      <c r="B5" s="118" t="s">
        <v>176</v>
      </c>
      <c r="C5" s="119"/>
      <c r="D5" s="120">
        <f>G51</f>
        <v>2166500</v>
      </c>
      <c r="E5" s="119"/>
      <c r="F5" s="121">
        <f>D5/G13</f>
        <v>0.3857041125</v>
      </c>
      <c r="G5" s="122"/>
    </row>
    <row r="6" ht="15.75" customHeight="1">
      <c r="A6" s="117">
        <v>3.0</v>
      </c>
      <c r="B6" s="118" t="s">
        <v>177</v>
      </c>
      <c r="C6" s="119"/>
      <c r="D6" s="120">
        <f>G66</f>
        <v>2445500</v>
      </c>
      <c r="E6" s="119"/>
      <c r="F6" s="121">
        <f>D6/G13</f>
        <v>0.4353747552</v>
      </c>
      <c r="G6" s="122"/>
    </row>
    <row r="7" ht="15.75" customHeight="1">
      <c r="A7" s="117">
        <v>4.0</v>
      </c>
      <c r="B7" s="118" t="s">
        <v>178</v>
      </c>
      <c r="C7" s="119"/>
      <c r="D7" s="120">
        <f>G74</f>
        <v>30000</v>
      </c>
      <c r="E7" s="119"/>
      <c r="F7" s="121">
        <f>D7/G13</f>
        <v>0.005340929322</v>
      </c>
      <c r="G7" s="122"/>
    </row>
    <row r="8" ht="15.75" customHeight="1">
      <c r="A8" s="117">
        <v>5.0</v>
      </c>
      <c r="B8" s="118" t="s">
        <v>179</v>
      </c>
      <c r="C8" s="119"/>
      <c r="D8" s="120">
        <f>G81</f>
        <v>50000</v>
      </c>
      <c r="E8" s="119"/>
      <c r="F8" s="121">
        <f>D8/G13</f>
        <v>0.00890154887</v>
      </c>
      <c r="G8" s="122"/>
    </row>
    <row r="9" ht="15.75" customHeight="1">
      <c r="A9" s="117">
        <v>6.0</v>
      </c>
      <c r="B9" s="118" t="s">
        <v>180</v>
      </c>
      <c r="C9" s="119"/>
      <c r="D9" s="120">
        <f>G92</f>
        <v>10000</v>
      </c>
      <c r="E9" s="119"/>
      <c r="F9" s="121">
        <f>D9/G13</f>
        <v>0.001780309774</v>
      </c>
      <c r="G9" s="122"/>
    </row>
    <row r="10" ht="15.75" customHeight="1">
      <c r="A10" s="117">
        <v>7.0</v>
      </c>
      <c r="B10" s="118" t="s">
        <v>181</v>
      </c>
      <c r="C10" s="119"/>
      <c r="D10" s="120">
        <f>G111</f>
        <v>219000</v>
      </c>
      <c r="E10" s="119"/>
      <c r="F10" s="121">
        <f>D10/G13</f>
        <v>0.03898878405</v>
      </c>
      <c r="G10" s="122"/>
    </row>
    <row r="11" ht="15.75" customHeight="1">
      <c r="A11" s="117">
        <v>8.0</v>
      </c>
      <c r="B11" s="118" t="s">
        <v>182</v>
      </c>
      <c r="C11" s="119"/>
      <c r="D11" s="120">
        <f>G121</f>
        <v>326000</v>
      </c>
      <c r="E11" s="119"/>
      <c r="F11" s="121">
        <f>D11/G13</f>
        <v>0.05803809863</v>
      </c>
      <c r="G11" s="122"/>
    </row>
    <row r="12" ht="15.75" customHeight="1">
      <c r="A12" s="123">
        <v>9.0</v>
      </c>
      <c r="B12" s="124" t="s">
        <v>183</v>
      </c>
      <c r="C12" s="125"/>
      <c r="D12" s="126">
        <f>G127</f>
        <v>20000</v>
      </c>
      <c r="E12" s="125"/>
      <c r="F12" s="127">
        <f>D12/G13</f>
        <v>0.003560619548</v>
      </c>
      <c r="G12" s="128"/>
    </row>
    <row r="13" ht="15.75" customHeight="1">
      <c r="A13" s="129" t="s">
        <v>184</v>
      </c>
      <c r="B13" s="130"/>
      <c r="C13" s="130"/>
      <c r="D13" s="130"/>
      <c r="E13" s="130"/>
      <c r="F13" s="119"/>
      <c r="G13" s="131">
        <f>SUM(D4:E12)</f>
        <v>5617000</v>
      </c>
    </row>
    <row r="14" ht="15.75" customHeight="1">
      <c r="A14" s="132">
        <v>1.0</v>
      </c>
      <c r="B14" s="133" t="s">
        <v>175</v>
      </c>
      <c r="C14" s="130"/>
      <c r="D14" s="130"/>
      <c r="E14" s="130"/>
      <c r="F14" s="130"/>
      <c r="G14" s="122"/>
    </row>
    <row r="15" ht="15.75" customHeight="1">
      <c r="A15" s="134" t="s">
        <v>185</v>
      </c>
      <c r="C15" s="135"/>
      <c r="D15" s="136" t="s">
        <v>186</v>
      </c>
      <c r="E15" s="137" t="s">
        <v>187</v>
      </c>
      <c r="F15" s="138" t="s">
        <v>188</v>
      </c>
      <c r="G15" s="139" t="s">
        <v>189</v>
      </c>
    </row>
    <row r="16" ht="15.75" customHeight="1">
      <c r="A16" s="140"/>
      <c r="B16" s="130"/>
      <c r="C16" s="119"/>
      <c r="D16" s="119"/>
      <c r="E16" s="119"/>
      <c r="F16" s="138" t="s">
        <v>190</v>
      </c>
      <c r="G16" s="139" t="s">
        <v>190</v>
      </c>
    </row>
    <row r="17" ht="15.75" customHeight="1">
      <c r="A17" s="141" t="s">
        <v>191</v>
      </c>
      <c r="B17" s="130"/>
      <c r="C17" s="119"/>
      <c r="D17" s="142"/>
      <c r="E17" s="143"/>
      <c r="F17" s="144"/>
      <c r="G17" s="145">
        <f>SUM(G18:G20)</f>
        <v>0</v>
      </c>
    </row>
    <row r="18" ht="15.75" customHeight="1">
      <c r="A18" s="117">
        <v>1.0</v>
      </c>
      <c r="B18" s="146" t="s">
        <v>192</v>
      </c>
      <c r="C18" s="119"/>
      <c r="D18" s="147" t="s">
        <v>193</v>
      </c>
      <c r="E18" s="148">
        <v>1.0</v>
      </c>
      <c r="F18" s="149">
        <v>0.0</v>
      </c>
      <c r="G18" s="150">
        <f t="shared" ref="G18:G20" si="1">F18*E18</f>
        <v>0</v>
      </c>
    </row>
    <row r="19" ht="15.75" customHeight="1">
      <c r="A19" s="117">
        <v>2.0</v>
      </c>
      <c r="B19" s="146" t="s">
        <v>194</v>
      </c>
      <c r="C19" s="119"/>
      <c r="D19" s="147" t="s">
        <v>193</v>
      </c>
      <c r="E19" s="148">
        <v>1.0</v>
      </c>
      <c r="F19" s="149">
        <v>0.0</v>
      </c>
      <c r="G19" s="150">
        <f t="shared" si="1"/>
        <v>0</v>
      </c>
    </row>
    <row r="20" ht="15.75" customHeight="1">
      <c r="A20" s="117">
        <v>3.0</v>
      </c>
      <c r="B20" s="146" t="s">
        <v>195</v>
      </c>
      <c r="C20" s="119"/>
      <c r="D20" s="147" t="s">
        <v>193</v>
      </c>
      <c r="E20" s="148">
        <v>1.0</v>
      </c>
      <c r="F20" s="149">
        <v>0.0</v>
      </c>
      <c r="G20" s="150">
        <f t="shared" si="1"/>
        <v>0</v>
      </c>
    </row>
    <row r="21" ht="15.75" customHeight="1">
      <c r="A21" s="141" t="s">
        <v>196</v>
      </c>
      <c r="B21" s="130"/>
      <c r="C21" s="119"/>
      <c r="D21" s="142"/>
      <c r="E21" s="143"/>
      <c r="F21" s="151"/>
      <c r="G21" s="145">
        <f>SUM(G22)</f>
        <v>350000</v>
      </c>
    </row>
    <row r="22" ht="15.75" customHeight="1">
      <c r="A22" s="117">
        <v>1.0</v>
      </c>
      <c r="B22" s="146" t="s">
        <v>197</v>
      </c>
      <c r="C22" s="119"/>
      <c r="D22" s="147" t="s">
        <v>193</v>
      </c>
      <c r="E22" s="148">
        <v>1.0</v>
      </c>
      <c r="F22" s="152">
        <v>350000.0</v>
      </c>
      <c r="G22" s="153">
        <v>350000.0</v>
      </c>
    </row>
    <row r="23" ht="15.75" customHeight="1">
      <c r="A23" s="154" t="s">
        <v>198</v>
      </c>
      <c r="B23" s="130"/>
      <c r="C23" s="119"/>
      <c r="D23" s="155"/>
      <c r="E23" s="156"/>
      <c r="F23" s="157"/>
      <c r="G23" s="158">
        <f>G17+G21</f>
        <v>350000</v>
      </c>
    </row>
    <row r="24" ht="15.75" customHeight="1">
      <c r="A24" s="132">
        <v>2.0</v>
      </c>
      <c r="B24" s="133" t="s">
        <v>176</v>
      </c>
      <c r="C24" s="130"/>
      <c r="D24" s="130"/>
      <c r="E24" s="130"/>
      <c r="F24" s="130"/>
      <c r="G24" s="122"/>
    </row>
    <row r="25" ht="15.75" customHeight="1">
      <c r="A25" s="134" t="s">
        <v>185</v>
      </c>
      <c r="C25" s="135"/>
      <c r="D25" s="136" t="s">
        <v>186</v>
      </c>
      <c r="E25" s="137" t="s">
        <v>187</v>
      </c>
      <c r="F25" s="138" t="s">
        <v>188</v>
      </c>
      <c r="G25" s="139" t="s">
        <v>189</v>
      </c>
    </row>
    <row r="26" ht="15.75" customHeight="1">
      <c r="A26" s="140"/>
      <c r="B26" s="130"/>
      <c r="C26" s="119"/>
      <c r="D26" s="119"/>
      <c r="E26" s="119"/>
      <c r="F26" s="138" t="s">
        <v>190</v>
      </c>
      <c r="G26" s="139" t="s">
        <v>190</v>
      </c>
    </row>
    <row r="27" ht="15.75" customHeight="1">
      <c r="A27" s="141" t="s">
        <v>199</v>
      </c>
      <c r="B27" s="130"/>
      <c r="C27" s="119"/>
      <c r="D27" s="142"/>
      <c r="E27" s="143"/>
      <c r="F27" s="151"/>
      <c r="G27" s="145">
        <f>SUM(G28:G29)</f>
        <v>199500</v>
      </c>
    </row>
    <row r="28" ht="15.75" customHeight="1">
      <c r="A28" s="117">
        <v>1.0</v>
      </c>
      <c r="B28" s="146" t="s">
        <v>200</v>
      </c>
      <c r="C28" s="119"/>
      <c r="D28" s="147" t="s">
        <v>201</v>
      </c>
      <c r="E28" s="159">
        <v>35.0</v>
      </c>
      <c r="F28" s="160">
        <v>2850.0</v>
      </c>
      <c r="G28" s="161">
        <f t="shared" ref="G28:G29" si="2">F28*E28</f>
        <v>99750</v>
      </c>
    </row>
    <row r="29" ht="15.75" customHeight="1">
      <c r="A29" s="117">
        <v>2.0</v>
      </c>
      <c r="B29" s="146" t="s">
        <v>202</v>
      </c>
      <c r="C29" s="119"/>
      <c r="D29" s="147" t="s">
        <v>193</v>
      </c>
      <c r="E29" s="159">
        <v>1.0</v>
      </c>
      <c r="F29" s="162">
        <f>G28</f>
        <v>99750</v>
      </c>
      <c r="G29" s="161">
        <f t="shared" si="2"/>
        <v>99750</v>
      </c>
    </row>
    <row r="30" ht="15.75" customHeight="1">
      <c r="A30" s="141" t="s">
        <v>203</v>
      </c>
      <c r="B30" s="130"/>
      <c r="C30" s="119"/>
      <c r="D30" s="142"/>
      <c r="E30" s="143"/>
      <c r="F30" s="151"/>
      <c r="G30" s="145">
        <f>SUM(G31:G33)</f>
        <v>5000</v>
      </c>
    </row>
    <row r="31" ht="15.75" customHeight="1">
      <c r="A31" s="117">
        <v>1.0</v>
      </c>
      <c r="B31" s="146" t="s">
        <v>204</v>
      </c>
      <c r="C31" s="119"/>
      <c r="D31" s="147" t="s">
        <v>201</v>
      </c>
      <c r="E31" s="159">
        <v>35.0</v>
      </c>
      <c r="F31" s="162">
        <v>0.0</v>
      </c>
      <c r="G31" s="161">
        <f t="shared" ref="G31:G33" si="3">F31*E31</f>
        <v>0</v>
      </c>
    </row>
    <row r="32" ht="15.75" customHeight="1">
      <c r="A32" s="117">
        <v>2.0</v>
      </c>
      <c r="B32" s="146" t="s">
        <v>205</v>
      </c>
      <c r="C32" s="119"/>
      <c r="D32" s="147" t="s">
        <v>201</v>
      </c>
      <c r="E32" s="159">
        <v>35.0</v>
      </c>
      <c r="F32" s="162">
        <v>0.0</v>
      </c>
      <c r="G32" s="161">
        <f t="shared" si="3"/>
        <v>0</v>
      </c>
    </row>
    <row r="33" ht="15.75" customHeight="1">
      <c r="A33" s="117">
        <v>3.0</v>
      </c>
      <c r="B33" s="146" t="s">
        <v>206</v>
      </c>
      <c r="C33" s="119"/>
      <c r="D33" s="147" t="s">
        <v>193</v>
      </c>
      <c r="E33" s="159">
        <v>1.0</v>
      </c>
      <c r="F33" s="162">
        <v>5000.0</v>
      </c>
      <c r="G33" s="161">
        <f t="shared" si="3"/>
        <v>5000</v>
      </c>
    </row>
    <row r="34" ht="15.75" customHeight="1">
      <c r="A34" s="141" t="s">
        <v>207</v>
      </c>
      <c r="B34" s="130"/>
      <c r="C34" s="119"/>
      <c r="D34" s="142"/>
      <c r="E34" s="143"/>
      <c r="F34" s="151"/>
      <c r="G34" s="145">
        <f>SUM(G35:G42)</f>
        <v>17000</v>
      </c>
    </row>
    <row r="35" ht="15.75" customHeight="1">
      <c r="A35" s="117">
        <v>1.0</v>
      </c>
      <c r="B35" s="146" t="s">
        <v>208</v>
      </c>
      <c r="C35" s="119"/>
      <c r="D35" s="147" t="s">
        <v>193</v>
      </c>
      <c r="E35" s="159">
        <v>1.0</v>
      </c>
      <c r="F35" s="162">
        <v>0.0</v>
      </c>
      <c r="G35" s="161">
        <f t="shared" ref="G35:G42" si="4">F35*E35</f>
        <v>0</v>
      </c>
    </row>
    <row r="36" ht="15.75" customHeight="1">
      <c r="A36" s="117">
        <v>2.0</v>
      </c>
      <c r="B36" s="146" t="s">
        <v>209</v>
      </c>
      <c r="C36" s="119"/>
      <c r="D36" s="147" t="s">
        <v>193</v>
      </c>
      <c r="E36" s="159">
        <v>1.0</v>
      </c>
      <c r="F36" s="163">
        <v>5000.0</v>
      </c>
      <c r="G36" s="161">
        <f t="shared" si="4"/>
        <v>5000</v>
      </c>
    </row>
    <row r="37" ht="15.75" customHeight="1">
      <c r="A37" s="117">
        <v>3.0</v>
      </c>
      <c r="B37" s="146" t="s">
        <v>210</v>
      </c>
      <c r="C37" s="119"/>
      <c r="D37" s="147" t="s">
        <v>193</v>
      </c>
      <c r="E37" s="159">
        <v>1.0</v>
      </c>
      <c r="F37" s="163">
        <v>0.0</v>
      </c>
      <c r="G37" s="161">
        <f t="shared" si="4"/>
        <v>0</v>
      </c>
    </row>
    <row r="38" ht="15.75" customHeight="1">
      <c r="A38" s="117">
        <v>4.0</v>
      </c>
      <c r="B38" s="146" t="s">
        <v>211</v>
      </c>
      <c r="C38" s="119"/>
      <c r="D38" s="147" t="s">
        <v>193</v>
      </c>
      <c r="E38" s="159">
        <v>1.0</v>
      </c>
      <c r="F38" s="163">
        <v>0.0</v>
      </c>
      <c r="G38" s="161">
        <f t="shared" si="4"/>
        <v>0</v>
      </c>
    </row>
    <row r="39" ht="15.75" customHeight="1">
      <c r="A39" s="117">
        <v>5.0</v>
      </c>
      <c r="B39" s="146" t="s">
        <v>212</v>
      </c>
      <c r="C39" s="119"/>
      <c r="D39" s="147" t="s">
        <v>193</v>
      </c>
      <c r="E39" s="159">
        <v>1.0</v>
      </c>
      <c r="F39" s="163">
        <v>5000.0</v>
      </c>
      <c r="G39" s="161">
        <f t="shared" si="4"/>
        <v>5000</v>
      </c>
    </row>
    <row r="40" ht="15.75" customHeight="1">
      <c r="A40" s="117">
        <v>6.0</v>
      </c>
      <c r="B40" s="146" t="s">
        <v>213</v>
      </c>
      <c r="C40" s="119"/>
      <c r="D40" s="147" t="s">
        <v>193</v>
      </c>
      <c r="E40" s="159">
        <v>1.0</v>
      </c>
      <c r="F40" s="163">
        <v>5000.0</v>
      </c>
      <c r="G40" s="161">
        <f t="shared" si="4"/>
        <v>5000</v>
      </c>
    </row>
    <row r="41" ht="15.75" customHeight="1">
      <c r="A41" s="117">
        <v>7.0</v>
      </c>
      <c r="B41" s="146" t="s">
        <v>214</v>
      </c>
      <c r="C41" s="119"/>
      <c r="D41" s="147" t="s">
        <v>193</v>
      </c>
      <c r="E41" s="159">
        <v>1.0</v>
      </c>
      <c r="F41" s="163">
        <v>0.0</v>
      </c>
      <c r="G41" s="161">
        <f t="shared" si="4"/>
        <v>0</v>
      </c>
    </row>
    <row r="42" ht="15.75" customHeight="1">
      <c r="A42" s="117">
        <v>8.0</v>
      </c>
      <c r="B42" s="146" t="s">
        <v>215</v>
      </c>
      <c r="C42" s="119"/>
      <c r="D42" s="147" t="s">
        <v>193</v>
      </c>
      <c r="E42" s="159">
        <v>1.0</v>
      </c>
      <c r="F42" s="163">
        <v>2000.0</v>
      </c>
      <c r="G42" s="161">
        <f t="shared" si="4"/>
        <v>2000</v>
      </c>
    </row>
    <row r="43" ht="15.75" customHeight="1">
      <c r="A43" s="141" t="s">
        <v>216</v>
      </c>
      <c r="B43" s="130"/>
      <c r="C43" s="119"/>
      <c r="D43" s="142"/>
      <c r="E43" s="143"/>
      <c r="F43" s="151"/>
      <c r="G43" s="145">
        <f>SUM(G44:G50)</f>
        <v>1945000</v>
      </c>
    </row>
    <row r="44" ht="15.75" customHeight="1">
      <c r="A44" s="117">
        <v>1.0</v>
      </c>
      <c r="B44" s="164" t="s">
        <v>217</v>
      </c>
      <c r="C44" s="119"/>
      <c r="D44" s="147" t="s">
        <v>201</v>
      </c>
      <c r="E44" s="159">
        <v>35.0</v>
      </c>
      <c r="F44" s="149">
        <v>2000.0</v>
      </c>
      <c r="G44" s="161">
        <f t="shared" ref="G44:G46" si="5">F44*E44</f>
        <v>70000</v>
      </c>
    </row>
    <row r="45" ht="15.75" customHeight="1">
      <c r="A45" s="117">
        <v>2.0</v>
      </c>
      <c r="B45" s="164" t="s">
        <v>218</v>
      </c>
      <c r="C45" s="119"/>
      <c r="D45" s="147" t="s">
        <v>201</v>
      </c>
      <c r="E45" s="159">
        <v>35.0</v>
      </c>
      <c r="F45" s="149">
        <v>7000.0</v>
      </c>
      <c r="G45" s="161">
        <f t="shared" si="5"/>
        <v>245000</v>
      </c>
    </row>
    <row r="46" ht="15.75" customHeight="1">
      <c r="A46" s="117">
        <v>3.0</v>
      </c>
      <c r="B46" s="164" t="s">
        <v>219</v>
      </c>
      <c r="C46" s="119"/>
      <c r="D46" s="147" t="s">
        <v>201</v>
      </c>
      <c r="E46" s="159">
        <v>35.0</v>
      </c>
      <c r="F46" s="149">
        <v>8000.0</v>
      </c>
      <c r="G46" s="161">
        <f t="shared" si="5"/>
        <v>280000</v>
      </c>
    </row>
    <row r="47" ht="15.75" customHeight="1">
      <c r="A47" s="117">
        <v>4.0</v>
      </c>
      <c r="B47" s="164" t="s">
        <v>220</v>
      </c>
      <c r="C47" s="119"/>
      <c r="D47" s="147" t="s">
        <v>201</v>
      </c>
      <c r="E47" s="159">
        <v>1.0</v>
      </c>
      <c r="F47" s="152">
        <v>500000.0</v>
      </c>
      <c r="G47" s="161">
        <f t="shared" ref="G47:G50" si="6">F47</f>
        <v>500000</v>
      </c>
    </row>
    <row r="48" ht="15.75" customHeight="1">
      <c r="A48" s="117">
        <v>5.0</v>
      </c>
      <c r="B48" s="164" t="s">
        <v>221</v>
      </c>
      <c r="C48" s="119"/>
      <c r="D48" s="147" t="s">
        <v>201</v>
      </c>
      <c r="E48" s="159">
        <v>1.0</v>
      </c>
      <c r="F48" s="152">
        <v>200000.0</v>
      </c>
      <c r="G48" s="161">
        <f t="shared" si="6"/>
        <v>200000</v>
      </c>
    </row>
    <row r="49" ht="15.75" customHeight="1">
      <c r="A49" s="117">
        <v>6.0</v>
      </c>
      <c r="B49" s="164" t="s">
        <v>222</v>
      </c>
      <c r="C49" s="119"/>
      <c r="D49" s="147" t="s">
        <v>201</v>
      </c>
      <c r="E49" s="159">
        <v>1.0</v>
      </c>
      <c r="F49" s="152">
        <v>650000.0</v>
      </c>
      <c r="G49" s="161">
        <f t="shared" si="6"/>
        <v>650000</v>
      </c>
    </row>
    <row r="50" ht="15.75" customHeight="1">
      <c r="A50" s="117">
        <v>7.0</v>
      </c>
      <c r="B50" s="146" t="s">
        <v>223</v>
      </c>
      <c r="C50" s="119"/>
      <c r="D50" s="147" t="s">
        <v>193</v>
      </c>
      <c r="E50" s="148">
        <v>1.0</v>
      </c>
      <c r="F50" s="149">
        <v>0.0</v>
      </c>
      <c r="G50" s="161">
        <f t="shared" si="6"/>
        <v>0</v>
      </c>
    </row>
    <row r="51" ht="15.75" customHeight="1">
      <c r="A51" s="154" t="s">
        <v>198</v>
      </c>
      <c r="B51" s="130"/>
      <c r="C51" s="119"/>
      <c r="D51" s="165"/>
      <c r="E51" s="166"/>
      <c r="F51" s="167"/>
      <c r="G51" s="158">
        <f>G27+G30+G34+G43</f>
        <v>2166500</v>
      </c>
    </row>
    <row r="52" ht="15.75" customHeight="1">
      <c r="A52" s="132">
        <v>3.0</v>
      </c>
      <c r="B52" s="133" t="s">
        <v>177</v>
      </c>
      <c r="C52" s="130"/>
      <c r="D52" s="130"/>
      <c r="E52" s="130"/>
      <c r="F52" s="130"/>
      <c r="G52" s="122"/>
    </row>
    <row r="53" ht="15.75" customHeight="1">
      <c r="A53" s="134" t="s">
        <v>185</v>
      </c>
      <c r="C53" s="135"/>
      <c r="D53" s="136" t="s">
        <v>186</v>
      </c>
      <c r="E53" s="137" t="s">
        <v>187</v>
      </c>
      <c r="F53" s="138" t="s">
        <v>188</v>
      </c>
      <c r="G53" s="139" t="s">
        <v>189</v>
      </c>
    </row>
    <row r="54" ht="15.75" customHeight="1">
      <c r="A54" s="140"/>
      <c r="B54" s="130"/>
      <c r="C54" s="119"/>
      <c r="D54" s="119"/>
      <c r="E54" s="119"/>
      <c r="F54" s="138" t="s">
        <v>190</v>
      </c>
      <c r="G54" s="139" t="s">
        <v>190</v>
      </c>
    </row>
    <row r="55" ht="15.75" customHeight="1">
      <c r="A55" s="141" t="s">
        <v>224</v>
      </c>
      <c r="B55" s="130"/>
      <c r="C55" s="119"/>
      <c r="D55" s="142"/>
      <c r="E55" s="143"/>
      <c r="F55" s="151"/>
      <c r="G55" s="145">
        <f>SUM(G56)</f>
        <v>2300000</v>
      </c>
    </row>
    <row r="56" ht="15.75" customHeight="1">
      <c r="A56" s="117">
        <v>1.0</v>
      </c>
      <c r="B56" s="164" t="s">
        <v>225</v>
      </c>
      <c r="C56" s="119"/>
      <c r="D56" s="147" t="s">
        <v>193</v>
      </c>
      <c r="E56" s="159">
        <v>1.0</v>
      </c>
      <c r="F56" s="160">
        <v>2300000.0</v>
      </c>
      <c r="G56" s="161">
        <f>F56*E56</f>
        <v>2300000</v>
      </c>
    </row>
    <row r="57" ht="15.75" customHeight="1">
      <c r="A57" s="141" t="s">
        <v>226</v>
      </c>
      <c r="B57" s="130"/>
      <c r="C57" s="119"/>
      <c r="D57" s="142"/>
      <c r="E57" s="143"/>
      <c r="F57" s="151"/>
      <c r="G57" s="145">
        <f>SUM(G58)</f>
        <v>50000</v>
      </c>
    </row>
    <row r="58" ht="15.75" customHeight="1">
      <c r="A58" s="117">
        <v>1.0</v>
      </c>
      <c r="B58" s="164" t="s">
        <v>227</v>
      </c>
      <c r="C58" s="119"/>
      <c r="D58" s="147"/>
      <c r="E58" s="159">
        <v>1.0</v>
      </c>
      <c r="F58" s="162">
        <v>50000.0</v>
      </c>
      <c r="G58" s="161">
        <f>E58*F58</f>
        <v>50000</v>
      </c>
    </row>
    <row r="59" ht="15.75" customHeight="1">
      <c r="A59" s="141" t="s">
        <v>228</v>
      </c>
      <c r="B59" s="130"/>
      <c r="C59" s="119"/>
      <c r="D59" s="142"/>
      <c r="E59" s="143"/>
      <c r="F59" s="151"/>
      <c r="G59" s="145">
        <f>SUM(G60:G62)</f>
        <v>500</v>
      </c>
    </row>
    <row r="60" ht="15.75" customHeight="1">
      <c r="A60" s="117">
        <v>1.0</v>
      </c>
      <c r="B60" s="164" t="s">
        <v>229</v>
      </c>
      <c r="C60" s="119"/>
      <c r="D60" s="147" t="s">
        <v>193</v>
      </c>
      <c r="E60" s="159">
        <v>1.0</v>
      </c>
      <c r="F60" s="162">
        <v>500.0</v>
      </c>
      <c r="G60" s="161">
        <f>F60*E60</f>
        <v>500</v>
      </c>
    </row>
    <row r="61" ht="15.75" customHeight="1">
      <c r="A61" s="117">
        <v>2.0</v>
      </c>
      <c r="B61" s="164" t="s">
        <v>230</v>
      </c>
      <c r="C61" s="119"/>
      <c r="D61" s="147" t="s">
        <v>193</v>
      </c>
      <c r="E61" s="159">
        <v>0.0</v>
      </c>
      <c r="F61" s="162">
        <v>0.0</v>
      </c>
      <c r="G61" s="161">
        <v>0.0</v>
      </c>
    </row>
    <row r="62" ht="15.75" customHeight="1">
      <c r="A62" s="117">
        <v>3.0</v>
      </c>
      <c r="B62" s="164" t="s">
        <v>231</v>
      </c>
      <c r="C62" s="119"/>
      <c r="D62" s="147" t="s">
        <v>193</v>
      </c>
      <c r="E62" s="159">
        <v>0.0</v>
      </c>
      <c r="F62" s="162">
        <v>0.0</v>
      </c>
      <c r="G62" s="161">
        <v>0.0</v>
      </c>
    </row>
    <row r="63" ht="15.75" customHeight="1">
      <c r="A63" s="141" t="s">
        <v>232</v>
      </c>
      <c r="B63" s="130"/>
      <c r="C63" s="119"/>
      <c r="D63" s="142"/>
      <c r="E63" s="143"/>
      <c r="F63" s="151"/>
      <c r="G63" s="145">
        <f>SUM(G64:G65)</f>
        <v>95000</v>
      </c>
    </row>
    <row r="64" ht="15.75" customHeight="1">
      <c r="A64" s="117">
        <v>1.0</v>
      </c>
      <c r="B64" s="164" t="s">
        <v>233</v>
      </c>
      <c r="C64" s="119"/>
      <c r="D64" s="147" t="s">
        <v>193</v>
      </c>
      <c r="E64" s="159">
        <v>6.0</v>
      </c>
      <c r="F64" s="162">
        <v>15000.0</v>
      </c>
      <c r="G64" s="161">
        <f t="shared" ref="G64:G65" si="7">F64*E64</f>
        <v>90000</v>
      </c>
    </row>
    <row r="65" ht="15.75" customHeight="1">
      <c r="A65" s="117">
        <v>2.0</v>
      </c>
      <c r="B65" s="164" t="s">
        <v>234</v>
      </c>
      <c r="C65" s="119"/>
      <c r="D65" s="147" t="s">
        <v>193</v>
      </c>
      <c r="E65" s="159">
        <v>1.0</v>
      </c>
      <c r="F65" s="162">
        <v>5000.0</v>
      </c>
      <c r="G65" s="161">
        <f t="shared" si="7"/>
        <v>5000</v>
      </c>
    </row>
    <row r="66" ht="15.75" customHeight="1">
      <c r="A66" s="154" t="s">
        <v>198</v>
      </c>
      <c r="B66" s="130"/>
      <c r="C66" s="119"/>
      <c r="D66" s="155"/>
      <c r="E66" s="156"/>
      <c r="F66" s="168"/>
      <c r="G66" s="158">
        <f>G55+G57+G59+G63</f>
        <v>2445500</v>
      </c>
    </row>
    <row r="67" ht="15.75" customHeight="1">
      <c r="A67" s="132">
        <v>4.0</v>
      </c>
      <c r="B67" s="133" t="s">
        <v>178</v>
      </c>
      <c r="C67" s="130"/>
      <c r="D67" s="130"/>
      <c r="E67" s="130"/>
      <c r="F67" s="130"/>
      <c r="G67" s="122"/>
    </row>
    <row r="68" ht="15.75" customHeight="1">
      <c r="A68" s="134" t="s">
        <v>185</v>
      </c>
      <c r="C68" s="135"/>
      <c r="D68" s="136" t="s">
        <v>186</v>
      </c>
      <c r="E68" s="137" t="s">
        <v>187</v>
      </c>
      <c r="F68" s="169" t="s">
        <v>188</v>
      </c>
      <c r="G68" s="139" t="s">
        <v>189</v>
      </c>
    </row>
    <row r="69" ht="15.75" customHeight="1">
      <c r="A69" s="140"/>
      <c r="B69" s="130"/>
      <c r="C69" s="119"/>
      <c r="D69" s="119"/>
      <c r="E69" s="119"/>
      <c r="F69" s="138" t="s">
        <v>190</v>
      </c>
      <c r="G69" s="139" t="s">
        <v>190</v>
      </c>
    </row>
    <row r="70" ht="15.75" customHeight="1">
      <c r="A70" s="117">
        <v>1.0</v>
      </c>
      <c r="B70" s="164" t="s">
        <v>235</v>
      </c>
      <c r="C70" s="119"/>
      <c r="D70" s="147" t="s">
        <v>193</v>
      </c>
      <c r="E70" s="159">
        <v>1.0</v>
      </c>
      <c r="F70" s="163">
        <v>0.0</v>
      </c>
      <c r="G70" s="161">
        <f t="shared" ref="G70:G73" si="8">F70*E70</f>
        <v>0</v>
      </c>
    </row>
    <row r="71" ht="15.75" customHeight="1">
      <c r="A71" s="117">
        <v>2.0</v>
      </c>
      <c r="B71" s="164" t="s">
        <v>236</v>
      </c>
      <c r="C71" s="119"/>
      <c r="D71" s="147" t="s">
        <v>193</v>
      </c>
      <c r="E71" s="159">
        <v>1.0</v>
      </c>
      <c r="F71" s="163">
        <v>0.0</v>
      </c>
      <c r="G71" s="161">
        <f t="shared" si="8"/>
        <v>0</v>
      </c>
    </row>
    <row r="72" ht="15.75" customHeight="1">
      <c r="A72" s="117">
        <v>3.0</v>
      </c>
      <c r="B72" s="164" t="s">
        <v>237</v>
      </c>
      <c r="C72" s="119"/>
      <c r="D72" s="147" t="s">
        <v>193</v>
      </c>
      <c r="E72" s="159">
        <v>1.0</v>
      </c>
      <c r="F72" s="163">
        <v>20000.0</v>
      </c>
      <c r="G72" s="161">
        <f t="shared" si="8"/>
        <v>20000</v>
      </c>
    </row>
    <row r="73" ht="15.75" customHeight="1">
      <c r="A73" s="117">
        <v>4.0</v>
      </c>
      <c r="B73" s="164" t="s">
        <v>238</v>
      </c>
      <c r="C73" s="119"/>
      <c r="D73" s="147" t="s">
        <v>193</v>
      </c>
      <c r="E73" s="159">
        <v>1.0</v>
      </c>
      <c r="F73" s="163">
        <v>10000.0</v>
      </c>
      <c r="G73" s="161">
        <f t="shared" si="8"/>
        <v>10000</v>
      </c>
    </row>
    <row r="74" ht="15.75" customHeight="1">
      <c r="A74" s="154" t="s">
        <v>198</v>
      </c>
      <c r="B74" s="130"/>
      <c r="C74" s="119"/>
      <c r="D74" s="155"/>
      <c r="E74" s="156"/>
      <c r="F74" s="168"/>
      <c r="G74" s="158">
        <f>SUM(G70:G73)</f>
        <v>30000</v>
      </c>
    </row>
    <row r="75" ht="15.75" customHeight="1">
      <c r="A75" s="170"/>
      <c r="B75" s="171"/>
      <c r="C75" s="171"/>
      <c r="D75" s="171"/>
      <c r="E75" s="172"/>
      <c r="F75" s="171"/>
      <c r="G75" s="173"/>
    </row>
    <row r="76" ht="15.75" customHeight="1">
      <c r="A76" s="132">
        <v>5.0</v>
      </c>
      <c r="B76" s="133" t="s">
        <v>179</v>
      </c>
      <c r="C76" s="130"/>
      <c r="D76" s="130"/>
      <c r="E76" s="130"/>
      <c r="F76" s="130"/>
      <c r="G76" s="122"/>
    </row>
    <row r="77" ht="15.75" customHeight="1">
      <c r="A77" s="134" t="s">
        <v>185</v>
      </c>
      <c r="C77" s="135"/>
      <c r="D77" s="136" t="s">
        <v>186</v>
      </c>
      <c r="E77" s="137" t="s">
        <v>187</v>
      </c>
      <c r="F77" s="169" t="s">
        <v>188</v>
      </c>
      <c r="G77" s="139" t="s">
        <v>189</v>
      </c>
    </row>
    <row r="78" ht="15.75" customHeight="1">
      <c r="A78" s="140"/>
      <c r="B78" s="130"/>
      <c r="C78" s="119"/>
      <c r="D78" s="119"/>
      <c r="E78" s="119"/>
      <c r="F78" s="138" t="s">
        <v>190</v>
      </c>
      <c r="G78" s="139" t="s">
        <v>190</v>
      </c>
    </row>
    <row r="79" ht="15.75" customHeight="1">
      <c r="A79" s="117">
        <v>1.0</v>
      </c>
      <c r="B79" s="164" t="s">
        <v>239</v>
      </c>
      <c r="C79" s="119"/>
      <c r="D79" s="147" t="s">
        <v>193</v>
      </c>
      <c r="E79" s="159">
        <v>1.0</v>
      </c>
      <c r="F79" s="162">
        <v>50000.0</v>
      </c>
      <c r="G79" s="161">
        <f t="shared" ref="G79:G80" si="9">F79*E79</f>
        <v>50000</v>
      </c>
    </row>
    <row r="80" ht="15.75" customHeight="1">
      <c r="A80" s="117">
        <v>2.0</v>
      </c>
      <c r="B80" s="164" t="s">
        <v>240</v>
      </c>
      <c r="C80" s="119"/>
      <c r="D80" s="147" t="s">
        <v>193</v>
      </c>
      <c r="E80" s="159">
        <v>1.0</v>
      </c>
      <c r="F80" s="162">
        <v>0.0</v>
      </c>
      <c r="G80" s="161">
        <f t="shared" si="9"/>
        <v>0</v>
      </c>
    </row>
    <row r="81" ht="15.75" customHeight="1">
      <c r="A81" s="154" t="s">
        <v>198</v>
      </c>
      <c r="B81" s="130"/>
      <c r="C81" s="119"/>
      <c r="D81" s="155"/>
      <c r="E81" s="156"/>
      <c r="F81" s="168"/>
      <c r="G81" s="158">
        <f>SUM(G79:G80)</f>
        <v>50000</v>
      </c>
    </row>
    <row r="82" ht="15.75" customHeight="1">
      <c r="A82" s="170"/>
      <c r="B82" s="171"/>
      <c r="C82" s="171"/>
      <c r="D82" s="171"/>
      <c r="E82" s="172"/>
      <c r="F82" s="171"/>
      <c r="G82" s="173"/>
    </row>
    <row r="83" ht="15.75" customHeight="1">
      <c r="A83" s="132">
        <v>6.0</v>
      </c>
      <c r="B83" s="133" t="s">
        <v>180</v>
      </c>
      <c r="C83" s="130"/>
      <c r="D83" s="130"/>
      <c r="E83" s="130"/>
      <c r="F83" s="130"/>
      <c r="G83" s="122"/>
    </row>
    <row r="84" ht="15.75" customHeight="1">
      <c r="A84" s="134" t="s">
        <v>185</v>
      </c>
      <c r="C84" s="135"/>
      <c r="D84" s="136" t="s">
        <v>186</v>
      </c>
      <c r="E84" s="137" t="s">
        <v>187</v>
      </c>
      <c r="F84" s="138" t="s">
        <v>188</v>
      </c>
      <c r="G84" s="139" t="s">
        <v>189</v>
      </c>
    </row>
    <row r="85" ht="15.75" customHeight="1">
      <c r="A85" s="140"/>
      <c r="B85" s="130"/>
      <c r="C85" s="119"/>
      <c r="D85" s="119"/>
      <c r="E85" s="119"/>
      <c r="F85" s="138" t="s">
        <v>190</v>
      </c>
      <c r="G85" s="139" t="s">
        <v>190</v>
      </c>
    </row>
    <row r="86" ht="15.75" customHeight="1">
      <c r="A86" s="141" t="s">
        <v>241</v>
      </c>
      <c r="B86" s="130"/>
      <c r="C86" s="119"/>
      <c r="D86" s="142"/>
      <c r="E86" s="143"/>
      <c r="F86" s="151"/>
      <c r="G86" s="145">
        <f>SUM(G87:G88)</f>
        <v>10000</v>
      </c>
    </row>
    <row r="87" ht="15.75" customHeight="1">
      <c r="A87" s="117">
        <v>1.0</v>
      </c>
      <c r="B87" s="164" t="s">
        <v>242</v>
      </c>
      <c r="C87" s="119"/>
      <c r="D87" s="147" t="s">
        <v>193</v>
      </c>
      <c r="E87" s="159">
        <v>1.0</v>
      </c>
      <c r="F87" s="162">
        <v>10000.0</v>
      </c>
      <c r="G87" s="161">
        <f t="shared" ref="G87:G88" si="10">F87*E87</f>
        <v>10000</v>
      </c>
    </row>
    <row r="88" ht="15.75" customHeight="1">
      <c r="A88" s="117">
        <v>2.0</v>
      </c>
      <c r="B88" s="164" t="s">
        <v>243</v>
      </c>
      <c r="C88" s="119"/>
      <c r="D88" s="147" t="s">
        <v>193</v>
      </c>
      <c r="E88" s="159">
        <v>1.0</v>
      </c>
      <c r="F88" s="162">
        <v>0.0</v>
      </c>
      <c r="G88" s="161">
        <f t="shared" si="10"/>
        <v>0</v>
      </c>
    </row>
    <row r="89" ht="15.75" customHeight="1">
      <c r="A89" s="141" t="s">
        <v>244</v>
      </c>
      <c r="B89" s="130"/>
      <c r="C89" s="119"/>
      <c r="D89" s="142"/>
      <c r="E89" s="143"/>
      <c r="F89" s="151"/>
      <c r="G89" s="145">
        <f>SUM(G90:G91)</f>
        <v>0</v>
      </c>
    </row>
    <row r="90" ht="15.75" customHeight="1">
      <c r="A90" s="117">
        <v>1.0</v>
      </c>
      <c r="B90" s="174" t="s">
        <v>245</v>
      </c>
      <c r="C90" s="119"/>
      <c r="D90" s="147" t="s">
        <v>193</v>
      </c>
      <c r="E90" s="159">
        <v>1.0</v>
      </c>
      <c r="F90" s="162">
        <v>0.0</v>
      </c>
      <c r="G90" s="161">
        <f t="shared" ref="G90:G91" si="11">F90*E90</f>
        <v>0</v>
      </c>
    </row>
    <row r="91" ht="15.75" customHeight="1">
      <c r="A91" s="117">
        <v>2.0</v>
      </c>
      <c r="B91" s="174" t="s">
        <v>246</v>
      </c>
      <c r="C91" s="119"/>
      <c r="D91" s="147" t="s">
        <v>193</v>
      </c>
      <c r="E91" s="159">
        <v>1.0</v>
      </c>
      <c r="F91" s="162">
        <v>0.0</v>
      </c>
      <c r="G91" s="161">
        <f t="shared" si="11"/>
        <v>0</v>
      </c>
    </row>
    <row r="92" ht="15.75" customHeight="1">
      <c r="A92" s="154" t="s">
        <v>198</v>
      </c>
      <c r="B92" s="130"/>
      <c r="C92" s="119"/>
      <c r="D92" s="155"/>
      <c r="E92" s="156"/>
      <c r="F92" s="168"/>
      <c r="G92" s="158">
        <f>G86+G89</f>
        <v>10000</v>
      </c>
    </row>
    <row r="93" ht="15.75" customHeight="1">
      <c r="A93" s="170"/>
      <c r="B93" s="171"/>
      <c r="C93" s="171"/>
      <c r="D93" s="171"/>
      <c r="E93" s="172"/>
      <c r="F93" s="171"/>
      <c r="G93" s="173"/>
    </row>
    <row r="94" ht="15.75" customHeight="1">
      <c r="A94" s="132">
        <v>7.0</v>
      </c>
      <c r="B94" s="133" t="s">
        <v>247</v>
      </c>
      <c r="C94" s="130"/>
      <c r="D94" s="130"/>
      <c r="E94" s="130"/>
      <c r="F94" s="130"/>
      <c r="G94" s="122"/>
    </row>
    <row r="95" ht="15.75" customHeight="1">
      <c r="A95" s="134" t="s">
        <v>185</v>
      </c>
      <c r="C95" s="135"/>
      <c r="D95" s="136" t="s">
        <v>186</v>
      </c>
      <c r="E95" s="137" t="s">
        <v>187</v>
      </c>
      <c r="F95" s="138" t="s">
        <v>188</v>
      </c>
      <c r="G95" s="139" t="s">
        <v>189</v>
      </c>
    </row>
    <row r="96" ht="15.75" customHeight="1">
      <c r="A96" s="140"/>
      <c r="B96" s="130"/>
      <c r="C96" s="119"/>
      <c r="D96" s="119"/>
      <c r="E96" s="119"/>
      <c r="F96" s="138" t="s">
        <v>190</v>
      </c>
      <c r="G96" s="139" t="s">
        <v>190</v>
      </c>
    </row>
    <row r="97" ht="15.75" customHeight="1">
      <c r="A97" s="141" t="s">
        <v>248</v>
      </c>
      <c r="B97" s="130"/>
      <c r="C97" s="119"/>
      <c r="D97" s="142"/>
      <c r="E97" s="143"/>
      <c r="F97" s="151"/>
      <c r="G97" s="145">
        <f>SUM(G98:G99)</f>
        <v>101000</v>
      </c>
    </row>
    <row r="98" ht="15.75" customHeight="1">
      <c r="A98" s="117">
        <v>1.0</v>
      </c>
      <c r="B98" s="164" t="s">
        <v>249</v>
      </c>
      <c r="C98" s="119"/>
      <c r="D98" s="147" t="s">
        <v>193</v>
      </c>
      <c r="E98" s="159">
        <v>1.0</v>
      </c>
      <c r="F98" s="163">
        <v>100000.0</v>
      </c>
      <c r="G98" s="161">
        <f t="shared" ref="G98:G99" si="12">F98*E98</f>
        <v>100000</v>
      </c>
    </row>
    <row r="99" ht="15.75" customHeight="1">
      <c r="A99" s="117">
        <v>2.0</v>
      </c>
      <c r="B99" s="164" t="s">
        <v>250</v>
      </c>
      <c r="C99" s="119"/>
      <c r="D99" s="147" t="s">
        <v>193</v>
      </c>
      <c r="E99" s="159">
        <v>1.0</v>
      </c>
      <c r="F99" s="163">
        <v>1000.0</v>
      </c>
      <c r="G99" s="161">
        <f t="shared" si="12"/>
        <v>1000</v>
      </c>
    </row>
    <row r="100" ht="15.75" customHeight="1">
      <c r="A100" s="141" t="s">
        <v>251</v>
      </c>
      <c r="B100" s="130"/>
      <c r="C100" s="119"/>
      <c r="D100" s="142"/>
      <c r="E100" s="143"/>
      <c r="F100" s="151"/>
      <c r="G100" s="145">
        <f>SUM(G101:G102)</f>
        <v>20000</v>
      </c>
    </row>
    <row r="101" ht="15.75" customHeight="1">
      <c r="A101" s="117">
        <v>1.0</v>
      </c>
      <c r="B101" s="164" t="s">
        <v>252</v>
      </c>
      <c r="C101" s="119"/>
      <c r="D101" s="147" t="s">
        <v>193</v>
      </c>
      <c r="E101" s="159">
        <v>1.0</v>
      </c>
      <c r="F101" s="163">
        <v>10000.0</v>
      </c>
      <c r="G101" s="161">
        <f t="shared" ref="G101:G102" si="13">F101*E101</f>
        <v>10000</v>
      </c>
    </row>
    <row r="102" ht="15.75" customHeight="1">
      <c r="A102" s="117">
        <v>2.0</v>
      </c>
      <c r="B102" s="164" t="s">
        <v>253</v>
      </c>
      <c r="C102" s="119"/>
      <c r="D102" s="147" t="s">
        <v>193</v>
      </c>
      <c r="E102" s="159">
        <v>1.0</v>
      </c>
      <c r="F102" s="163">
        <v>10000.0</v>
      </c>
      <c r="G102" s="161">
        <f t="shared" si="13"/>
        <v>10000</v>
      </c>
    </row>
    <row r="103" ht="15.75" customHeight="1">
      <c r="A103" s="141" t="s">
        <v>254</v>
      </c>
      <c r="B103" s="130"/>
      <c r="C103" s="119"/>
      <c r="D103" s="142"/>
      <c r="E103" s="143"/>
      <c r="F103" s="151"/>
      <c r="G103" s="145">
        <f>G104</f>
        <v>8000</v>
      </c>
    </row>
    <row r="104" ht="15.75" customHeight="1">
      <c r="A104" s="117">
        <v>1.0</v>
      </c>
      <c r="B104" s="164" t="s">
        <v>255</v>
      </c>
      <c r="C104" s="119"/>
      <c r="D104" s="147" t="s">
        <v>193</v>
      </c>
      <c r="E104" s="159">
        <v>1.0</v>
      </c>
      <c r="F104" s="163">
        <v>8000.0</v>
      </c>
      <c r="G104" s="161">
        <f>F104*E104</f>
        <v>8000</v>
      </c>
    </row>
    <row r="105" ht="15.75" customHeight="1">
      <c r="A105" s="141" t="s">
        <v>256</v>
      </c>
      <c r="B105" s="130"/>
      <c r="C105" s="119"/>
      <c r="D105" s="142"/>
      <c r="E105" s="143"/>
      <c r="F105" s="151"/>
      <c r="G105" s="145">
        <f>SUM(G106:G108)</f>
        <v>30000</v>
      </c>
    </row>
    <row r="106" ht="15.75" customHeight="1">
      <c r="A106" s="117">
        <v>1.0</v>
      </c>
      <c r="B106" s="164" t="s">
        <v>257</v>
      </c>
      <c r="C106" s="119"/>
      <c r="D106" s="147" t="s">
        <v>193</v>
      </c>
      <c r="E106" s="159">
        <v>0.0</v>
      </c>
      <c r="F106" s="163">
        <v>0.0</v>
      </c>
      <c r="G106" s="161">
        <f t="shared" ref="G106:G108" si="14">F106*E106</f>
        <v>0</v>
      </c>
    </row>
    <row r="107" ht="15.75" customHeight="1">
      <c r="A107" s="117">
        <v>2.0</v>
      </c>
      <c r="B107" s="164" t="s">
        <v>258</v>
      </c>
      <c r="C107" s="119"/>
      <c r="D107" s="147" t="s">
        <v>193</v>
      </c>
      <c r="E107" s="159">
        <v>1.0</v>
      </c>
      <c r="F107" s="163">
        <v>15000.0</v>
      </c>
      <c r="G107" s="161">
        <f t="shared" si="14"/>
        <v>15000</v>
      </c>
    </row>
    <row r="108" ht="15.75" customHeight="1">
      <c r="A108" s="117">
        <v>3.0</v>
      </c>
      <c r="B108" s="164" t="s">
        <v>259</v>
      </c>
      <c r="C108" s="119"/>
      <c r="D108" s="147" t="s">
        <v>193</v>
      </c>
      <c r="E108" s="159">
        <v>1.0</v>
      </c>
      <c r="F108" s="163">
        <v>15000.0</v>
      </c>
      <c r="G108" s="161">
        <f t="shared" si="14"/>
        <v>15000</v>
      </c>
    </row>
    <row r="109" ht="15.75" customHeight="1">
      <c r="A109" s="141" t="s">
        <v>260</v>
      </c>
      <c r="B109" s="130"/>
      <c r="C109" s="119"/>
      <c r="D109" s="142"/>
      <c r="E109" s="143"/>
      <c r="F109" s="151"/>
      <c r="G109" s="145">
        <f>SUM(G110)</f>
        <v>60000</v>
      </c>
    </row>
    <row r="110" ht="15.75" customHeight="1">
      <c r="A110" s="117">
        <v>1.0</v>
      </c>
      <c r="B110" s="164" t="s">
        <v>261</v>
      </c>
      <c r="C110" s="119"/>
      <c r="D110" s="147" t="s">
        <v>193</v>
      </c>
      <c r="E110" s="159">
        <v>1.0</v>
      </c>
      <c r="F110" s="162">
        <v>60000.0</v>
      </c>
      <c r="G110" s="161">
        <f>F110*E110</f>
        <v>60000</v>
      </c>
    </row>
    <row r="111" ht="15.75" customHeight="1">
      <c r="A111" s="154" t="s">
        <v>198</v>
      </c>
      <c r="B111" s="130"/>
      <c r="C111" s="119"/>
      <c r="D111" s="155"/>
      <c r="E111" s="156"/>
      <c r="F111" s="168"/>
      <c r="G111" s="158">
        <f>G97+G100+G103+G105+G109</f>
        <v>219000</v>
      </c>
    </row>
    <row r="112" ht="15.75" customHeight="1">
      <c r="A112" s="170"/>
      <c r="B112" s="171"/>
      <c r="C112" s="171"/>
      <c r="D112" s="171"/>
      <c r="E112" s="172"/>
      <c r="F112" s="171"/>
      <c r="G112" s="173"/>
    </row>
    <row r="113" ht="15.75" customHeight="1">
      <c r="A113" s="132">
        <v>8.0</v>
      </c>
      <c r="B113" s="133" t="s">
        <v>182</v>
      </c>
      <c r="C113" s="130"/>
      <c r="D113" s="130"/>
      <c r="E113" s="130"/>
      <c r="F113" s="130"/>
      <c r="G113" s="122"/>
    </row>
    <row r="114" ht="15.75" customHeight="1">
      <c r="A114" s="134" t="s">
        <v>185</v>
      </c>
      <c r="C114" s="135"/>
      <c r="D114" s="136" t="s">
        <v>186</v>
      </c>
      <c r="E114" s="137" t="s">
        <v>187</v>
      </c>
      <c r="F114" s="138" t="s">
        <v>188</v>
      </c>
      <c r="G114" s="139" t="s">
        <v>189</v>
      </c>
    </row>
    <row r="115" ht="15.75" customHeight="1">
      <c r="A115" s="140"/>
      <c r="B115" s="130"/>
      <c r="C115" s="119"/>
      <c r="D115" s="119"/>
      <c r="E115" s="119"/>
      <c r="F115" s="138" t="s">
        <v>190</v>
      </c>
      <c r="G115" s="139" t="s">
        <v>190</v>
      </c>
    </row>
    <row r="116" ht="15.75" customHeight="1">
      <c r="A116" s="141" t="s">
        <v>262</v>
      </c>
      <c r="B116" s="130"/>
      <c r="C116" s="119"/>
      <c r="D116" s="142"/>
      <c r="E116" s="143"/>
      <c r="F116" s="151"/>
      <c r="G116" s="145">
        <f>SUM(G117)</f>
        <v>300000</v>
      </c>
    </row>
    <row r="117" ht="15.75" customHeight="1">
      <c r="A117" s="117">
        <v>1.0</v>
      </c>
      <c r="B117" s="174" t="s">
        <v>263</v>
      </c>
      <c r="C117" s="119"/>
      <c r="D117" s="147" t="s">
        <v>193</v>
      </c>
      <c r="E117" s="159">
        <v>1.0</v>
      </c>
      <c r="F117" s="160">
        <v>300000.0</v>
      </c>
      <c r="G117" s="161">
        <f>F117</f>
        <v>300000</v>
      </c>
    </row>
    <row r="118" ht="15.75" customHeight="1">
      <c r="A118" s="141" t="s">
        <v>264</v>
      </c>
      <c r="B118" s="130"/>
      <c r="C118" s="119"/>
      <c r="D118" s="142"/>
      <c r="E118" s="143"/>
      <c r="F118" s="151"/>
      <c r="G118" s="145">
        <f>SUM(G119:G120)</f>
        <v>26000</v>
      </c>
    </row>
    <row r="119" ht="15.75" customHeight="1">
      <c r="A119" s="117">
        <v>1.0</v>
      </c>
      <c r="B119" s="164" t="s">
        <v>265</v>
      </c>
      <c r="C119" s="119"/>
      <c r="D119" s="147" t="s">
        <v>193</v>
      </c>
      <c r="E119" s="159">
        <v>1.0</v>
      </c>
      <c r="F119" s="162">
        <v>20000.0</v>
      </c>
      <c r="G119" s="161">
        <f t="shared" ref="G119:G120" si="15">F119*E119</f>
        <v>20000</v>
      </c>
    </row>
    <row r="120" ht="15.75" customHeight="1">
      <c r="A120" s="117">
        <v>2.0</v>
      </c>
      <c r="B120" s="175" t="s">
        <v>266</v>
      </c>
      <c r="C120" s="119"/>
      <c r="D120" s="147" t="s">
        <v>193</v>
      </c>
      <c r="E120" s="159">
        <v>2.0</v>
      </c>
      <c r="F120" s="162">
        <v>3000.0</v>
      </c>
      <c r="G120" s="161">
        <f t="shared" si="15"/>
        <v>6000</v>
      </c>
    </row>
    <row r="121" ht="15.75" customHeight="1">
      <c r="A121" s="154" t="s">
        <v>198</v>
      </c>
      <c r="B121" s="130"/>
      <c r="C121" s="119"/>
      <c r="D121" s="155"/>
      <c r="E121" s="156"/>
      <c r="F121" s="168"/>
      <c r="G121" s="158">
        <f>G116+G118</f>
        <v>326000</v>
      </c>
    </row>
    <row r="122" ht="15.75" customHeight="1">
      <c r="A122" s="170"/>
      <c r="B122" s="171"/>
      <c r="C122" s="171"/>
      <c r="D122" s="171"/>
      <c r="E122" s="172"/>
      <c r="F122" s="171"/>
      <c r="G122" s="173"/>
    </row>
    <row r="123" ht="15.75" customHeight="1">
      <c r="A123" s="132">
        <v>9.0</v>
      </c>
      <c r="B123" s="133" t="s">
        <v>183</v>
      </c>
      <c r="C123" s="130"/>
      <c r="D123" s="130"/>
      <c r="E123" s="130"/>
      <c r="F123" s="130"/>
      <c r="G123" s="122"/>
    </row>
    <row r="124" ht="15.75" customHeight="1">
      <c r="A124" s="134" t="s">
        <v>185</v>
      </c>
      <c r="C124" s="135"/>
      <c r="D124" s="136" t="s">
        <v>186</v>
      </c>
      <c r="E124" s="137" t="s">
        <v>187</v>
      </c>
      <c r="F124" s="169" t="s">
        <v>188</v>
      </c>
      <c r="G124" s="139" t="s">
        <v>189</v>
      </c>
    </row>
    <row r="125" ht="15.75" customHeight="1">
      <c r="A125" s="140"/>
      <c r="B125" s="130"/>
      <c r="C125" s="119"/>
      <c r="D125" s="119"/>
      <c r="E125" s="119"/>
      <c r="F125" s="138" t="s">
        <v>190</v>
      </c>
      <c r="G125" s="139" t="s">
        <v>190</v>
      </c>
    </row>
    <row r="126" ht="15.75" customHeight="1">
      <c r="A126" s="117">
        <v>1.0</v>
      </c>
      <c r="B126" s="164" t="s">
        <v>267</v>
      </c>
      <c r="C126" s="119"/>
      <c r="D126" s="147" t="s">
        <v>193</v>
      </c>
      <c r="E126" s="159">
        <v>1.0</v>
      </c>
      <c r="F126" s="160">
        <v>20000.0</v>
      </c>
      <c r="G126" s="161">
        <f>F126*E126</f>
        <v>20000</v>
      </c>
    </row>
    <row r="127" ht="15.75" customHeight="1">
      <c r="A127" s="176" t="s">
        <v>198</v>
      </c>
      <c r="B127" s="177"/>
      <c r="C127" s="125"/>
      <c r="D127" s="178"/>
      <c r="E127" s="179"/>
      <c r="F127" s="180"/>
      <c r="G127" s="181">
        <f>SUM(G126)</f>
        <v>20000</v>
      </c>
    </row>
    <row r="128" ht="15.75" customHeight="1">
      <c r="A128" s="107"/>
      <c r="B128" s="107"/>
      <c r="C128" s="107"/>
      <c r="D128" s="107"/>
      <c r="E128" s="108"/>
      <c r="F128" s="107"/>
      <c r="G128" s="108"/>
    </row>
    <row r="129" ht="15.75" customHeight="1">
      <c r="A129" s="182"/>
      <c r="B129" s="182"/>
      <c r="C129" s="182"/>
      <c r="D129" s="182"/>
      <c r="E129" s="182"/>
      <c r="F129" s="182"/>
      <c r="G129" s="182"/>
    </row>
    <row r="130" ht="15.75" customHeight="1">
      <c r="A130" s="182"/>
      <c r="B130" s="182"/>
      <c r="C130" s="182"/>
      <c r="D130" s="182"/>
      <c r="E130" s="182"/>
      <c r="F130" s="182"/>
      <c r="G130" s="182"/>
    </row>
    <row r="131" ht="15.75" customHeight="1">
      <c r="A131" s="182"/>
      <c r="B131" s="182"/>
      <c r="C131" s="182"/>
      <c r="D131" s="182"/>
      <c r="E131" s="182"/>
      <c r="F131" s="182"/>
      <c r="G131" s="182"/>
    </row>
    <row r="132" ht="15.75" customHeight="1">
      <c r="A132" s="182"/>
      <c r="B132" s="182"/>
      <c r="C132" s="182"/>
      <c r="D132" s="182"/>
      <c r="E132" s="182"/>
      <c r="F132" s="182"/>
      <c r="G132" s="182"/>
    </row>
    <row r="133" ht="15.75" customHeight="1">
      <c r="A133" s="182"/>
      <c r="B133" s="182"/>
      <c r="C133" s="182"/>
      <c r="D133" s="182"/>
      <c r="E133" s="182"/>
      <c r="F133" s="182"/>
      <c r="G133" s="182"/>
    </row>
    <row r="134" ht="15.75" customHeight="1">
      <c r="A134" s="182"/>
      <c r="B134" s="182"/>
      <c r="C134" s="182"/>
      <c r="D134" s="182"/>
      <c r="E134" s="182"/>
      <c r="F134" s="182"/>
      <c r="G134" s="182"/>
    </row>
    <row r="135" ht="15.75" customHeight="1">
      <c r="A135" s="182"/>
      <c r="B135" s="182"/>
      <c r="C135" s="182"/>
      <c r="D135" s="182"/>
      <c r="E135" s="182"/>
      <c r="F135" s="182"/>
      <c r="G135" s="182"/>
    </row>
    <row r="136" ht="15.75" customHeight="1">
      <c r="A136" s="182"/>
      <c r="B136" s="182"/>
      <c r="C136" s="182"/>
      <c r="D136" s="182"/>
      <c r="E136" s="182"/>
      <c r="F136" s="182"/>
      <c r="G136" s="182"/>
    </row>
    <row r="137" ht="15.75" customHeight="1">
      <c r="A137" s="182"/>
      <c r="B137" s="182"/>
      <c r="C137" s="182"/>
      <c r="D137" s="182"/>
      <c r="E137" s="182"/>
      <c r="F137" s="182"/>
      <c r="G137" s="182"/>
    </row>
    <row r="138" ht="15.75" customHeight="1">
      <c r="A138" s="182"/>
      <c r="B138" s="182"/>
      <c r="C138" s="182"/>
      <c r="D138" s="182"/>
      <c r="E138" s="182"/>
      <c r="F138" s="182"/>
      <c r="G138" s="182"/>
    </row>
    <row r="139" ht="15.75" customHeight="1">
      <c r="A139" s="182"/>
      <c r="B139" s="182"/>
      <c r="C139" s="182"/>
      <c r="D139" s="182"/>
      <c r="E139" s="182"/>
      <c r="F139" s="182"/>
      <c r="G139" s="182"/>
    </row>
    <row r="140" ht="15.75" customHeight="1">
      <c r="A140" s="182"/>
      <c r="B140" s="182"/>
      <c r="C140" s="182"/>
      <c r="D140" s="182"/>
      <c r="E140" s="182"/>
      <c r="F140" s="182"/>
      <c r="G140" s="182"/>
    </row>
    <row r="141" ht="15.75" customHeight="1">
      <c r="A141" s="182"/>
      <c r="B141" s="182"/>
      <c r="C141" s="182"/>
      <c r="D141" s="182"/>
      <c r="E141" s="182"/>
      <c r="F141" s="182"/>
      <c r="G141" s="182"/>
    </row>
    <row r="142" ht="15.75" customHeight="1">
      <c r="A142" s="182"/>
      <c r="B142" s="182"/>
      <c r="C142" s="182"/>
      <c r="D142" s="182"/>
      <c r="E142" s="182"/>
      <c r="F142" s="182"/>
      <c r="G142" s="182"/>
    </row>
    <row r="143" ht="15.75" customHeight="1">
      <c r="A143" s="182"/>
      <c r="B143" s="182"/>
      <c r="C143" s="182"/>
      <c r="D143" s="182"/>
      <c r="E143" s="182"/>
      <c r="F143" s="182"/>
      <c r="G143" s="182"/>
    </row>
    <row r="144" ht="15.75" customHeight="1">
      <c r="A144" s="182"/>
      <c r="B144" s="182"/>
      <c r="C144" s="182"/>
      <c r="D144" s="182"/>
      <c r="E144" s="182"/>
      <c r="F144" s="182"/>
      <c r="G144" s="182"/>
    </row>
    <row r="145" ht="15.75" customHeight="1">
      <c r="A145" s="182"/>
      <c r="B145" s="182"/>
      <c r="C145" s="182"/>
      <c r="D145" s="182"/>
      <c r="E145" s="182"/>
      <c r="F145" s="182"/>
      <c r="G145" s="182"/>
    </row>
    <row r="146" ht="15.75" customHeight="1">
      <c r="A146" s="182"/>
      <c r="B146" s="182"/>
      <c r="C146" s="182"/>
      <c r="D146" s="182"/>
      <c r="E146" s="182"/>
      <c r="F146" s="182"/>
      <c r="G146" s="182"/>
    </row>
    <row r="147" ht="15.75" customHeight="1">
      <c r="A147" s="182"/>
      <c r="B147" s="182"/>
      <c r="C147" s="182"/>
      <c r="D147" s="182"/>
      <c r="E147" s="182"/>
      <c r="F147" s="182"/>
      <c r="G147" s="182"/>
    </row>
    <row r="148" ht="15.75" customHeight="1">
      <c r="A148" s="182"/>
      <c r="B148" s="182"/>
      <c r="C148" s="182"/>
      <c r="D148" s="182"/>
      <c r="E148" s="182"/>
      <c r="F148" s="182"/>
      <c r="G148" s="182"/>
    </row>
    <row r="149" ht="15.75" customHeight="1">
      <c r="A149" s="182"/>
      <c r="B149" s="182"/>
      <c r="C149" s="182"/>
      <c r="D149" s="182"/>
      <c r="E149" s="182"/>
      <c r="F149" s="182"/>
      <c r="G149" s="182"/>
    </row>
    <row r="150" ht="15.75" customHeight="1">
      <c r="A150" s="182"/>
      <c r="B150" s="182"/>
      <c r="C150" s="182"/>
      <c r="D150" s="182"/>
      <c r="E150" s="182"/>
      <c r="F150" s="182"/>
      <c r="G150" s="182"/>
    </row>
    <row r="151" ht="15.75" customHeight="1">
      <c r="A151" s="182"/>
      <c r="B151" s="182"/>
      <c r="C151" s="182"/>
      <c r="D151" s="182"/>
      <c r="E151" s="182"/>
      <c r="F151" s="182"/>
      <c r="G151" s="182"/>
    </row>
    <row r="152" ht="15.75" customHeight="1">
      <c r="A152" s="182"/>
      <c r="B152" s="182"/>
      <c r="C152" s="182"/>
      <c r="D152" s="182"/>
      <c r="E152" s="182"/>
      <c r="F152" s="182"/>
      <c r="G152" s="182"/>
    </row>
    <row r="153" ht="15.75" customHeight="1">
      <c r="A153" s="182"/>
      <c r="B153" s="182"/>
      <c r="C153" s="182"/>
      <c r="D153" s="182"/>
      <c r="E153" s="182"/>
      <c r="F153" s="182"/>
      <c r="G153" s="182"/>
    </row>
    <row r="154" ht="15.75" customHeight="1">
      <c r="A154" s="182"/>
      <c r="B154" s="182"/>
      <c r="C154" s="182"/>
      <c r="D154" s="182"/>
      <c r="E154" s="182"/>
      <c r="F154" s="182"/>
      <c r="G154" s="182"/>
    </row>
    <row r="155" ht="15.75" customHeight="1">
      <c r="A155" s="182"/>
      <c r="B155" s="182"/>
      <c r="C155" s="182"/>
      <c r="D155" s="182"/>
      <c r="E155" s="182"/>
      <c r="F155" s="182"/>
      <c r="G155" s="182"/>
    </row>
    <row r="156" ht="15.75" customHeight="1">
      <c r="A156" s="182"/>
      <c r="B156" s="182"/>
      <c r="C156" s="182"/>
      <c r="D156" s="182"/>
      <c r="E156" s="182"/>
      <c r="F156" s="182"/>
      <c r="G156" s="182"/>
    </row>
    <row r="157" ht="15.75" customHeight="1">
      <c r="A157" s="182"/>
      <c r="B157" s="182"/>
      <c r="C157" s="182"/>
      <c r="D157" s="182"/>
      <c r="E157" s="182"/>
      <c r="F157" s="182"/>
      <c r="G157" s="182"/>
    </row>
    <row r="158" ht="15.75" customHeight="1">
      <c r="A158" s="182"/>
      <c r="B158" s="182"/>
      <c r="C158" s="182"/>
      <c r="D158" s="182"/>
      <c r="E158" s="182"/>
      <c r="F158" s="182"/>
      <c r="G158" s="182"/>
    </row>
    <row r="159" ht="15.75" customHeight="1">
      <c r="A159" s="182"/>
      <c r="B159" s="182"/>
      <c r="C159" s="182"/>
      <c r="D159" s="182"/>
      <c r="E159" s="182"/>
      <c r="F159" s="182"/>
      <c r="G159" s="182"/>
    </row>
    <row r="160" ht="15.75" customHeight="1">
      <c r="A160" s="182"/>
      <c r="B160" s="182"/>
      <c r="C160" s="182"/>
      <c r="D160" s="182"/>
      <c r="E160" s="182"/>
      <c r="F160" s="182"/>
      <c r="G160" s="182"/>
    </row>
    <row r="161" ht="15.75" customHeight="1">
      <c r="A161" s="182"/>
      <c r="B161" s="182"/>
      <c r="C161" s="182"/>
      <c r="D161" s="182"/>
      <c r="E161" s="182"/>
      <c r="F161" s="182"/>
      <c r="G161" s="182"/>
    </row>
    <row r="162" ht="15.75" customHeight="1">
      <c r="A162" s="182"/>
      <c r="B162" s="182"/>
      <c r="C162" s="182"/>
      <c r="D162" s="182"/>
      <c r="E162" s="182"/>
      <c r="F162" s="182"/>
      <c r="G162" s="182"/>
    </row>
    <row r="163" ht="15.75" customHeight="1">
      <c r="A163" s="182"/>
      <c r="B163" s="182"/>
      <c r="C163" s="182"/>
      <c r="D163" s="182"/>
      <c r="E163" s="182"/>
      <c r="F163" s="182"/>
      <c r="G163" s="182"/>
    </row>
    <row r="164" ht="15.75" customHeight="1">
      <c r="A164" s="182"/>
      <c r="B164" s="182"/>
      <c r="C164" s="182"/>
      <c r="D164" s="182"/>
      <c r="E164" s="182"/>
      <c r="F164" s="182"/>
      <c r="G164" s="182"/>
    </row>
    <row r="165" ht="15.75" customHeight="1">
      <c r="A165" s="182"/>
      <c r="B165" s="182"/>
      <c r="C165" s="182"/>
      <c r="D165" s="182"/>
      <c r="E165" s="182"/>
      <c r="F165" s="182"/>
      <c r="G165" s="182"/>
    </row>
    <row r="166" ht="15.75" customHeight="1">
      <c r="A166" s="182"/>
      <c r="B166" s="182"/>
      <c r="C166" s="182"/>
      <c r="D166" s="182"/>
      <c r="E166" s="182"/>
      <c r="F166" s="182"/>
      <c r="G166" s="182"/>
    </row>
    <row r="167" ht="15.75" customHeight="1">
      <c r="A167" s="182"/>
      <c r="B167" s="182"/>
      <c r="C167" s="182"/>
      <c r="D167" s="182"/>
      <c r="E167" s="182"/>
      <c r="F167" s="182"/>
      <c r="G167" s="182"/>
    </row>
    <row r="168" ht="15.75" customHeight="1">
      <c r="A168" s="182"/>
      <c r="B168" s="182"/>
      <c r="C168" s="182"/>
      <c r="D168" s="182"/>
      <c r="E168" s="182"/>
      <c r="F168" s="182"/>
      <c r="G168" s="182"/>
    </row>
    <row r="169" ht="15.75" customHeight="1">
      <c r="A169" s="182"/>
      <c r="B169" s="182"/>
      <c r="C169" s="182"/>
      <c r="D169" s="182"/>
      <c r="E169" s="182"/>
      <c r="F169" s="182"/>
      <c r="G169" s="182"/>
    </row>
    <row r="170" ht="15.75" customHeight="1">
      <c r="A170" s="182"/>
      <c r="B170" s="182"/>
      <c r="C170" s="182"/>
      <c r="D170" s="182"/>
      <c r="E170" s="182"/>
      <c r="F170" s="182"/>
      <c r="G170" s="182"/>
    </row>
    <row r="171" ht="15.75" customHeight="1">
      <c r="A171" s="182"/>
      <c r="B171" s="182"/>
      <c r="C171" s="182"/>
      <c r="D171" s="182"/>
      <c r="E171" s="182"/>
      <c r="F171" s="182"/>
      <c r="G171" s="182"/>
    </row>
    <row r="172" ht="15.75" customHeight="1">
      <c r="A172" s="182"/>
      <c r="B172" s="182"/>
      <c r="C172" s="182"/>
      <c r="D172" s="182"/>
      <c r="E172" s="182"/>
      <c r="F172" s="182"/>
      <c r="G172" s="182"/>
    </row>
    <row r="173" ht="15.75" customHeight="1">
      <c r="A173" s="182"/>
      <c r="B173" s="182"/>
      <c r="C173" s="182"/>
      <c r="D173" s="182"/>
      <c r="E173" s="182"/>
      <c r="F173" s="182"/>
      <c r="G173" s="182"/>
    </row>
    <row r="174" ht="15.75" customHeight="1">
      <c r="A174" s="182"/>
      <c r="B174" s="182"/>
      <c r="C174" s="182"/>
      <c r="D174" s="182"/>
      <c r="E174" s="182"/>
      <c r="F174" s="182"/>
      <c r="G174" s="182"/>
    </row>
    <row r="175" ht="15.75" customHeight="1">
      <c r="A175" s="182"/>
      <c r="B175" s="182"/>
      <c r="C175" s="182"/>
      <c r="D175" s="182"/>
      <c r="E175" s="182"/>
      <c r="F175" s="182"/>
      <c r="G175" s="182"/>
    </row>
    <row r="176" ht="15.75" customHeight="1">
      <c r="A176" s="182"/>
      <c r="B176" s="182"/>
      <c r="C176" s="182"/>
      <c r="D176" s="182"/>
      <c r="E176" s="182"/>
      <c r="F176" s="182"/>
      <c r="G176" s="182"/>
    </row>
    <row r="177" ht="15.75" customHeight="1">
      <c r="A177" s="182"/>
      <c r="B177" s="182"/>
      <c r="C177" s="182"/>
      <c r="D177" s="182"/>
      <c r="E177" s="182"/>
      <c r="F177" s="182"/>
      <c r="G177" s="182"/>
    </row>
    <row r="178" ht="15.75" customHeight="1">
      <c r="A178" s="182"/>
      <c r="B178" s="182"/>
      <c r="C178" s="182"/>
      <c r="D178" s="182"/>
      <c r="E178" s="182"/>
      <c r="F178" s="182"/>
      <c r="G178" s="182"/>
    </row>
    <row r="179" ht="15.75" customHeight="1">
      <c r="A179" s="182"/>
      <c r="B179" s="182"/>
      <c r="C179" s="182"/>
      <c r="D179" s="182"/>
      <c r="E179" s="182"/>
      <c r="F179" s="182"/>
      <c r="G179" s="182"/>
    </row>
    <row r="180" ht="15.75" customHeight="1">
      <c r="A180" s="182"/>
      <c r="B180" s="182"/>
      <c r="C180" s="182"/>
      <c r="D180" s="182"/>
      <c r="E180" s="182"/>
      <c r="F180" s="182"/>
      <c r="G180" s="182"/>
    </row>
    <row r="181" ht="15.75" customHeight="1">
      <c r="A181" s="182"/>
      <c r="B181" s="182"/>
      <c r="C181" s="182"/>
      <c r="D181" s="182"/>
      <c r="E181" s="182"/>
      <c r="F181" s="182"/>
      <c r="G181" s="182"/>
    </row>
    <row r="182" ht="15.75" customHeight="1">
      <c r="A182" s="182"/>
      <c r="B182" s="182"/>
      <c r="C182" s="182"/>
      <c r="D182" s="182"/>
      <c r="E182" s="182"/>
      <c r="F182" s="182"/>
      <c r="G182" s="182"/>
    </row>
    <row r="183" ht="15.75" customHeight="1">
      <c r="A183" s="182"/>
      <c r="B183" s="182"/>
      <c r="C183" s="182"/>
      <c r="D183" s="182"/>
      <c r="E183" s="182"/>
      <c r="F183" s="182"/>
      <c r="G183" s="182"/>
    </row>
    <row r="184" ht="15.75" customHeight="1">
      <c r="A184" s="182"/>
      <c r="B184" s="182"/>
      <c r="C184" s="182"/>
      <c r="D184" s="182"/>
      <c r="E184" s="182"/>
      <c r="F184" s="182"/>
      <c r="G184" s="182"/>
    </row>
    <row r="185" ht="15.75" customHeight="1">
      <c r="A185" s="182"/>
      <c r="B185" s="182"/>
      <c r="C185" s="182"/>
      <c r="D185" s="182"/>
      <c r="E185" s="182"/>
      <c r="F185" s="182"/>
      <c r="G185" s="182"/>
    </row>
    <row r="186" ht="15.75" customHeight="1">
      <c r="A186" s="182"/>
      <c r="B186" s="182"/>
      <c r="C186" s="182"/>
      <c r="D186" s="182"/>
      <c r="E186" s="182"/>
      <c r="F186" s="182"/>
      <c r="G186" s="182"/>
    </row>
    <row r="187" ht="15.75" customHeight="1">
      <c r="A187" s="182"/>
      <c r="B187" s="182"/>
      <c r="C187" s="182"/>
      <c r="D187" s="182"/>
      <c r="E187" s="182"/>
      <c r="F187" s="182"/>
      <c r="G187" s="182"/>
    </row>
    <row r="188" ht="15.75" customHeight="1">
      <c r="A188" s="182"/>
      <c r="B188" s="182"/>
      <c r="C188" s="182"/>
      <c r="D188" s="182"/>
      <c r="E188" s="182"/>
      <c r="F188" s="182"/>
      <c r="G188" s="182"/>
    </row>
    <row r="189" ht="15.75" customHeight="1">
      <c r="A189" s="182"/>
      <c r="B189" s="182"/>
      <c r="C189" s="182"/>
      <c r="D189" s="182"/>
      <c r="E189" s="182"/>
      <c r="F189" s="182"/>
      <c r="G189" s="182"/>
    </row>
    <row r="190" ht="15.75" customHeight="1">
      <c r="A190" s="182"/>
      <c r="B190" s="182"/>
      <c r="C190" s="182"/>
      <c r="D190" s="182"/>
      <c r="E190" s="182"/>
      <c r="F190" s="182"/>
      <c r="G190" s="182"/>
    </row>
    <row r="191" ht="15.75" customHeight="1">
      <c r="A191" s="182"/>
      <c r="B191" s="182"/>
      <c r="C191" s="182"/>
      <c r="D191" s="182"/>
      <c r="E191" s="182"/>
      <c r="F191" s="182"/>
      <c r="G191" s="182"/>
    </row>
    <row r="192" ht="15.75" customHeight="1">
      <c r="A192" s="182"/>
      <c r="B192" s="182"/>
      <c r="C192" s="182"/>
      <c r="D192" s="182"/>
      <c r="E192" s="182"/>
      <c r="F192" s="182"/>
      <c r="G192" s="182"/>
    </row>
    <row r="193" ht="15.75" customHeight="1">
      <c r="A193" s="182"/>
      <c r="B193" s="182"/>
      <c r="C193" s="182"/>
      <c r="D193" s="182"/>
      <c r="E193" s="182"/>
      <c r="F193" s="182"/>
      <c r="G193" s="182"/>
    </row>
    <row r="194" ht="15.75" customHeight="1">
      <c r="A194" s="182"/>
      <c r="B194" s="182"/>
      <c r="C194" s="182"/>
      <c r="D194" s="182"/>
      <c r="E194" s="182"/>
      <c r="F194" s="182"/>
      <c r="G194" s="182"/>
    </row>
    <row r="195" ht="15.75" customHeight="1">
      <c r="A195" s="182"/>
      <c r="B195" s="182"/>
      <c r="C195" s="182"/>
      <c r="D195" s="182"/>
      <c r="E195" s="182"/>
      <c r="F195" s="182"/>
      <c r="G195" s="182"/>
    </row>
    <row r="196" ht="15.75" customHeight="1">
      <c r="A196" s="182"/>
      <c r="B196" s="182"/>
      <c r="C196" s="182"/>
      <c r="D196" s="182"/>
      <c r="E196" s="182"/>
      <c r="F196" s="182"/>
      <c r="G196" s="182"/>
    </row>
    <row r="197" ht="15.75" customHeight="1">
      <c r="A197" s="182"/>
      <c r="B197" s="182"/>
      <c r="C197" s="182"/>
      <c r="D197" s="182"/>
      <c r="E197" s="182"/>
      <c r="F197" s="182"/>
      <c r="G197" s="182"/>
    </row>
    <row r="198" ht="15.75" customHeight="1">
      <c r="A198" s="182"/>
      <c r="B198" s="182"/>
      <c r="C198" s="182"/>
      <c r="D198" s="182"/>
      <c r="E198" s="182"/>
      <c r="F198" s="182"/>
      <c r="G198" s="182"/>
    </row>
    <row r="199" ht="15.75" customHeight="1">
      <c r="A199" s="182"/>
      <c r="B199" s="182"/>
      <c r="C199" s="182"/>
      <c r="D199" s="182"/>
      <c r="E199" s="182"/>
      <c r="F199" s="182"/>
      <c r="G199" s="182"/>
    </row>
    <row r="200" ht="15.75" customHeight="1">
      <c r="A200" s="182"/>
      <c r="B200" s="182"/>
      <c r="C200" s="182"/>
      <c r="D200" s="182"/>
      <c r="E200" s="182"/>
      <c r="F200" s="182"/>
      <c r="G200" s="182"/>
    </row>
    <row r="201" ht="15.75" customHeight="1">
      <c r="A201" s="182"/>
      <c r="B201" s="182"/>
      <c r="C201" s="182"/>
      <c r="D201" s="182"/>
      <c r="E201" s="182"/>
      <c r="F201" s="182"/>
      <c r="G201" s="182"/>
    </row>
    <row r="202" ht="15.75" customHeight="1">
      <c r="A202" s="182"/>
      <c r="B202" s="182"/>
      <c r="C202" s="182"/>
      <c r="D202" s="182"/>
      <c r="E202" s="182"/>
      <c r="F202" s="182"/>
      <c r="G202" s="182"/>
    </row>
    <row r="203" ht="15.75" customHeight="1">
      <c r="A203" s="182"/>
      <c r="B203" s="182"/>
      <c r="C203" s="182"/>
      <c r="D203" s="182"/>
      <c r="E203" s="182"/>
      <c r="F203" s="182"/>
      <c r="G203" s="182"/>
    </row>
    <row r="204" ht="15.75" customHeight="1">
      <c r="A204" s="182"/>
      <c r="B204" s="182"/>
      <c r="C204" s="182"/>
      <c r="D204" s="182"/>
      <c r="E204" s="182"/>
      <c r="F204" s="182"/>
      <c r="G204" s="182"/>
    </row>
    <row r="205" ht="15.75" customHeight="1">
      <c r="A205" s="182"/>
      <c r="B205" s="182"/>
      <c r="C205" s="182"/>
      <c r="D205" s="182"/>
      <c r="E205" s="182"/>
      <c r="F205" s="182"/>
      <c r="G205" s="182"/>
    </row>
    <row r="206" ht="15.75" customHeight="1">
      <c r="A206" s="182"/>
      <c r="B206" s="182"/>
      <c r="C206" s="182"/>
      <c r="D206" s="182"/>
      <c r="E206" s="182"/>
      <c r="F206" s="182"/>
      <c r="G206" s="182"/>
    </row>
    <row r="207" ht="15.75" customHeight="1">
      <c r="A207" s="182"/>
      <c r="B207" s="182"/>
      <c r="C207" s="182"/>
      <c r="D207" s="182"/>
      <c r="E207" s="182"/>
      <c r="F207" s="182"/>
      <c r="G207" s="182"/>
    </row>
    <row r="208" ht="15.75" customHeight="1">
      <c r="A208" s="182"/>
      <c r="B208" s="182"/>
      <c r="C208" s="182"/>
      <c r="D208" s="182"/>
      <c r="E208" s="182"/>
      <c r="F208" s="182"/>
      <c r="G208" s="182"/>
    </row>
    <row r="209" ht="15.75" customHeight="1">
      <c r="A209" s="182"/>
      <c r="B209" s="182"/>
      <c r="C209" s="182"/>
      <c r="D209" s="182"/>
      <c r="E209" s="182"/>
      <c r="F209" s="182"/>
      <c r="G209" s="182"/>
    </row>
    <row r="210" ht="15.75" customHeight="1">
      <c r="A210" s="182"/>
      <c r="B210" s="182"/>
      <c r="C210" s="182"/>
      <c r="D210" s="182"/>
      <c r="E210" s="182"/>
      <c r="F210" s="182"/>
      <c r="G210" s="182"/>
    </row>
    <row r="211" ht="15.75" customHeight="1">
      <c r="A211" s="182"/>
      <c r="B211" s="182"/>
      <c r="C211" s="182"/>
      <c r="D211" s="182"/>
      <c r="E211" s="182"/>
      <c r="F211" s="182"/>
      <c r="G211" s="182"/>
    </row>
    <row r="212" ht="15.75" customHeight="1">
      <c r="A212" s="182"/>
      <c r="B212" s="182"/>
      <c r="C212" s="182"/>
      <c r="D212" s="182"/>
      <c r="E212" s="182"/>
      <c r="F212" s="182"/>
      <c r="G212" s="182"/>
    </row>
    <row r="213" ht="15.75" customHeight="1">
      <c r="A213" s="182"/>
      <c r="B213" s="182"/>
      <c r="C213" s="182"/>
      <c r="D213" s="182"/>
      <c r="E213" s="182"/>
      <c r="F213" s="182"/>
      <c r="G213" s="182"/>
    </row>
    <row r="214" ht="15.75" customHeight="1">
      <c r="A214" s="182"/>
      <c r="B214" s="182"/>
      <c r="C214" s="182"/>
      <c r="D214" s="182"/>
      <c r="E214" s="182"/>
      <c r="F214" s="182"/>
      <c r="G214" s="182"/>
    </row>
    <row r="215" ht="15.75" customHeight="1">
      <c r="A215" s="182"/>
      <c r="B215" s="182"/>
      <c r="C215" s="182"/>
      <c r="D215" s="182"/>
      <c r="E215" s="182"/>
      <c r="F215" s="182"/>
      <c r="G215" s="182"/>
    </row>
    <row r="216" ht="15.75" customHeight="1">
      <c r="A216" s="182"/>
      <c r="B216" s="182"/>
      <c r="C216" s="182"/>
      <c r="D216" s="182"/>
      <c r="E216" s="182"/>
      <c r="F216" s="182"/>
      <c r="G216" s="182"/>
    </row>
    <row r="217" ht="15.75" customHeight="1">
      <c r="A217" s="182"/>
      <c r="B217" s="182"/>
      <c r="C217" s="182"/>
      <c r="D217" s="182"/>
      <c r="E217" s="182"/>
      <c r="F217" s="182"/>
      <c r="G217" s="182"/>
    </row>
    <row r="218" ht="15.75" customHeight="1">
      <c r="A218" s="182"/>
      <c r="B218" s="182"/>
      <c r="C218" s="182"/>
      <c r="D218" s="182"/>
      <c r="E218" s="182"/>
      <c r="F218" s="182"/>
      <c r="G218" s="182"/>
    </row>
    <row r="219" ht="15.75" customHeight="1">
      <c r="A219" s="182"/>
      <c r="B219" s="182"/>
      <c r="C219" s="182"/>
      <c r="D219" s="182"/>
      <c r="E219" s="182"/>
      <c r="F219" s="182"/>
      <c r="G219" s="182"/>
    </row>
    <row r="220" ht="15.75" customHeight="1">
      <c r="A220" s="182"/>
      <c r="B220" s="182"/>
      <c r="C220" s="182"/>
      <c r="D220" s="182"/>
      <c r="E220" s="182"/>
      <c r="F220" s="182"/>
      <c r="G220" s="182"/>
    </row>
    <row r="221" ht="15.75" customHeight="1">
      <c r="A221" s="182"/>
      <c r="B221" s="182"/>
      <c r="C221" s="182"/>
      <c r="D221" s="182"/>
      <c r="E221" s="182"/>
      <c r="F221" s="182"/>
      <c r="G221" s="182"/>
    </row>
    <row r="222" ht="15.75" customHeight="1">
      <c r="A222" s="182"/>
      <c r="B222" s="182"/>
      <c r="C222" s="182"/>
      <c r="D222" s="182"/>
      <c r="E222" s="182"/>
      <c r="F222" s="182"/>
      <c r="G222" s="182"/>
    </row>
    <row r="223" ht="15.75" customHeight="1">
      <c r="A223" s="182"/>
      <c r="B223" s="182"/>
      <c r="C223" s="182"/>
      <c r="D223" s="182"/>
      <c r="E223" s="182"/>
      <c r="F223" s="182"/>
      <c r="G223" s="182"/>
    </row>
    <row r="224" ht="15.75" customHeight="1">
      <c r="A224" s="182"/>
      <c r="B224" s="182"/>
      <c r="C224" s="182"/>
      <c r="D224" s="182"/>
      <c r="E224" s="182"/>
      <c r="F224" s="182"/>
      <c r="G224" s="182"/>
    </row>
    <row r="225" ht="15.75" customHeight="1">
      <c r="A225" s="182"/>
      <c r="B225" s="182"/>
      <c r="C225" s="182"/>
      <c r="D225" s="182"/>
      <c r="E225" s="182"/>
      <c r="F225" s="182"/>
      <c r="G225" s="182"/>
    </row>
    <row r="226" ht="15.75" customHeight="1">
      <c r="A226" s="182"/>
      <c r="B226" s="182"/>
      <c r="C226" s="182"/>
      <c r="D226" s="182"/>
      <c r="E226" s="182"/>
      <c r="F226" s="182"/>
      <c r="G226" s="182"/>
    </row>
    <row r="227" ht="15.75" customHeight="1">
      <c r="A227" s="182"/>
      <c r="B227" s="182"/>
      <c r="C227" s="182"/>
      <c r="D227" s="182"/>
      <c r="E227" s="182"/>
      <c r="F227" s="182"/>
      <c r="G227" s="182"/>
    </row>
    <row r="228" ht="15.75" customHeight="1">
      <c r="A228" s="182"/>
      <c r="B228" s="182"/>
      <c r="C228" s="182"/>
      <c r="D228" s="182"/>
      <c r="E228" s="182"/>
      <c r="F228" s="182"/>
      <c r="G228" s="182"/>
    </row>
    <row r="229" ht="15.75" customHeight="1">
      <c r="A229" s="182"/>
      <c r="B229" s="182"/>
      <c r="C229" s="182"/>
      <c r="D229" s="182"/>
      <c r="E229" s="182"/>
      <c r="F229" s="182"/>
      <c r="G229" s="182"/>
    </row>
    <row r="230" ht="15.75" customHeight="1">
      <c r="A230" s="182"/>
      <c r="B230" s="182"/>
      <c r="C230" s="182"/>
      <c r="D230" s="182"/>
      <c r="E230" s="182"/>
      <c r="F230" s="182"/>
      <c r="G230" s="182"/>
    </row>
    <row r="231" ht="15.75" customHeight="1">
      <c r="A231" s="182"/>
      <c r="B231" s="182"/>
      <c r="C231" s="182"/>
      <c r="D231" s="182"/>
      <c r="E231" s="182"/>
      <c r="F231" s="182"/>
      <c r="G231" s="182"/>
    </row>
    <row r="232" ht="15.75" customHeight="1">
      <c r="A232" s="182"/>
      <c r="B232" s="182"/>
      <c r="C232" s="182"/>
      <c r="D232" s="182"/>
      <c r="E232" s="182"/>
      <c r="F232" s="182"/>
      <c r="G232" s="182"/>
    </row>
    <row r="233" ht="15.75" customHeight="1">
      <c r="A233" s="182"/>
      <c r="B233" s="182"/>
      <c r="C233" s="182"/>
      <c r="D233" s="182"/>
      <c r="E233" s="182"/>
      <c r="F233" s="182"/>
      <c r="G233" s="182"/>
    </row>
    <row r="234" ht="15.75" customHeight="1">
      <c r="A234" s="182"/>
      <c r="B234" s="182"/>
      <c r="C234" s="182"/>
      <c r="D234" s="182"/>
      <c r="E234" s="182"/>
      <c r="F234" s="182"/>
      <c r="G234" s="182"/>
    </row>
    <row r="235" ht="15.75" customHeight="1">
      <c r="A235" s="182"/>
      <c r="B235" s="182"/>
      <c r="C235" s="182"/>
      <c r="D235" s="182"/>
      <c r="E235" s="182"/>
      <c r="F235" s="182"/>
      <c r="G235" s="182"/>
    </row>
    <row r="236" ht="15.75" customHeight="1">
      <c r="A236" s="182"/>
      <c r="B236" s="182"/>
      <c r="C236" s="182"/>
      <c r="D236" s="182"/>
      <c r="E236" s="182"/>
      <c r="F236" s="182"/>
      <c r="G236" s="182"/>
    </row>
    <row r="237" ht="15.75" customHeight="1">
      <c r="A237" s="182"/>
      <c r="B237" s="182"/>
      <c r="C237" s="182"/>
      <c r="D237" s="182"/>
      <c r="E237" s="182"/>
      <c r="F237" s="182"/>
      <c r="G237" s="182"/>
    </row>
    <row r="238" ht="15.75" customHeight="1">
      <c r="A238" s="182"/>
      <c r="B238" s="182"/>
      <c r="C238" s="182"/>
      <c r="D238" s="182"/>
      <c r="E238" s="182"/>
      <c r="F238" s="182"/>
      <c r="G238" s="182"/>
    </row>
    <row r="239" ht="15.75" customHeight="1">
      <c r="A239" s="182"/>
      <c r="B239" s="182"/>
      <c r="C239" s="182"/>
      <c r="D239" s="182"/>
      <c r="E239" s="182"/>
      <c r="F239" s="182"/>
      <c r="G239" s="182"/>
    </row>
    <row r="240" ht="15.75" customHeight="1">
      <c r="A240" s="182"/>
      <c r="B240" s="182"/>
      <c r="C240" s="182"/>
      <c r="D240" s="182"/>
      <c r="E240" s="182"/>
      <c r="F240" s="182"/>
      <c r="G240" s="182"/>
    </row>
    <row r="241" ht="15.75" customHeight="1">
      <c r="A241" s="182"/>
      <c r="B241" s="182"/>
      <c r="C241" s="182"/>
      <c r="D241" s="182"/>
      <c r="E241" s="182"/>
      <c r="F241" s="182"/>
      <c r="G241" s="182"/>
    </row>
    <row r="242" ht="15.75" customHeight="1">
      <c r="A242" s="182"/>
      <c r="B242" s="182"/>
      <c r="C242" s="182"/>
      <c r="D242" s="182"/>
      <c r="E242" s="182"/>
      <c r="F242" s="182"/>
      <c r="G242" s="182"/>
    </row>
    <row r="243" ht="15.75" customHeight="1">
      <c r="A243" s="182"/>
      <c r="B243" s="182"/>
      <c r="C243" s="182"/>
      <c r="D243" s="182"/>
      <c r="E243" s="182"/>
      <c r="F243" s="182"/>
      <c r="G243" s="182"/>
    </row>
    <row r="244" ht="15.75" customHeight="1">
      <c r="A244" s="182"/>
      <c r="B244" s="182"/>
      <c r="C244" s="182"/>
      <c r="D244" s="182"/>
      <c r="E244" s="182"/>
      <c r="F244" s="182"/>
      <c r="G244" s="182"/>
    </row>
    <row r="245" ht="15.75" customHeight="1">
      <c r="A245" s="182"/>
      <c r="B245" s="182"/>
      <c r="C245" s="182"/>
      <c r="D245" s="182"/>
      <c r="E245" s="182"/>
      <c r="F245" s="182"/>
      <c r="G245" s="182"/>
    </row>
    <row r="246" ht="15.75" customHeight="1">
      <c r="A246" s="182"/>
      <c r="B246" s="182"/>
      <c r="C246" s="182"/>
      <c r="D246" s="182"/>
      <c r="E246" s="182"/>
      <c r="F246" s="182"/>
      <c r="G246" s="182"/>
    </row>
    <row r="247" ht="15.75" customHeight="1">
      <c r="A247" s="182"/>
      <c r="B247" s="182"/>
      <c r="C247" s="182"/>
      <c r="D247" s="182"/>
      <c r="E247" s="182"/>
      <c r="F247" s="182"/>
      <c r="G247" s="182"/>
    </row>
    <row r="248" ht="15.75" customHeight="1">
      <c r="A248" s="182"/>
      <c r="B248" s="182"/>
      <c r="C248" s="182"/>
      <c r="D248" s="182"/>
      <c r="E248" s="182"/>
      <c r="F248" s="182"/>
      <c r="G248" s="182"/>
    </row>
    <row r="249" ht="15.75" customHeight="1">
      <c r="A249" s="182"/>
      <c r="B249" s="182"/>
      <c r="C249" s="182"/>
      <c r="D249" s="182"/>
      <c r="E249" s="182"/>
      <c r="F249" s="182"/>
      <c r="G249" s="182"/>
    </row>
    <row r="250" ht="15.75" customHeight="1">
      <c r="A250" s="182"/>
      <c r="B250" s="182"/>
      <c r="C250" s="182"/>
      <c r="D250" s="182"/>
      <c r="E250" s="182"/>
      <c r="F250" s="182"/>
      <c r="G250" s="182"/>
    </row>
    <row r="251" ht="15.75" customHeight="1">
      <c r="A251" s="182"/>
      <c r="B251" s="182"/>
      <c r="C251" s="182"/>
      <c r="D251" s="182"/>
      <c r="E251" s="182"/>
      <c r="F251" s="182"/>
      <c r="G251" s="182"/>
    </row>
    <row r="252" ht="15.75" customHeight="1">
      <c r="A252" s="182"/>
      <c r="B252" s="182"/>
      <c r="C252" s="182"/>
      <c r="D252" s="182"/>
      <c r="E252" s="182"/>
      <c r="F252" s="182"/>
      <c r="G252" s="182"/>
    </row>
    <row r="253" ht="15.75" customHeight="1">
      <c r="A253" s="182"/>
      <c r="B253" s="182"/>
      <c r="C253" s="182"/>
      <c r="D253" s="182"/>
      <c r="E253" s="182"/>
      <c r="F253" s="182"/>
      <c r="G253" s="182"/>
    </row>
    <row r="254" ht="15.75" customHeight="1">
      <c r="A254" s="182"/>
      <c r="B254" s="182"/>
      <c r="C254" s="182"/>
      <c r="D254" s="182"/>
      <c r="E254" s="182"/>
      <c r="F254" s="182"/>
      <c r="G254" s="182"/>
    </row>
    <row r="255" ht="15.75" customHeight="1">
      <c r="A255" s="182"/>
      <c r="B255" s="182"/>
      <c r="C255" s="182"/>
      <c r="D255" s="182"/>
      <c r="E255" s="182"/>
      <c r="F255" s="182"/>
      <c r="G255" s="182"/>
    </row>
    <row r="256" ht="15.75" customHeight="1">
      <c r="A256" s="182"/>
      <c r="B256" s="182"/>
      <c r="C256" s="182"/>
      <c r="D256" s="182"/>
      <c r="E256" s="182"/>
      <c r="F256" s="182"/>
      <c r="G256" s="182"/>
    </row>
    <row r="257" ht="15.75" customHeight="1">
      <c r="A257" s="182"/>
      <c r="B257" s="182"/>
      <c r="C257" s="182"/>
      <c r="D257" s="182"/>
      <c r="E257" s="182"/>
      <c r="F257" s="182"/>
      <c r="G257" s="182"/>
    </row>
    <row r="258" ht="15.75" customHeight="1">
      <c r="A258" s="182"/>
      <c r="B258" s="182"/>
      <c r="C258" s="182"/>
      <c r="D258" s="182"/>
      <c r="E258" s="182"/>
      <c r="F258" s="182"/>
      <c r="G258" s="182"/>
    </row>
    <row r="259" ht="15.75" customHeight="1">
      <c r="A259" s="182"/>
      <c r="B259" s="182"/>
      <c r="C259" s="182"/>
      <c r="D259" s="182"/>
      <c r="E259" s="182"/>
      <c r="F259" s="182"/>
      <c r="G259" s="182"/>
    </row>
    <row r="260" ht="15.75" customHeight="1">
      <c r="A260" s="182"/>
      <c r="B260" s="182"/>
      <c r="C260" s="182"/>
      <c r="D260" s="182"/>
      <c r="E260" s="182"/>
      <c r="F260" s="182"/>
      <c r="G260" s="182"/>
    </row>
    <row r="261" ht="15.75" customHeight="1">
      <c r="A261" s="182"/>
      <c r="B261" s="182"/>
      <c r="C261" s="182"/>
      <c r="D261" s="182"/>
      <c r="E261" s="182"/>
      <c r="F261" s="182"/>
      <c r="G261" s="182"/>
    </row>
    <row r="262" ht="15.75" customHeight="1">
      <c r="A262" s="182"/>
      <c r="B262" s="182"/>
      <c r="C262" s="182"/>
      <c r="D262" s="182"/>
      <c r="E262" s="182"/>
      <c r="F262" s="182"/>
      <c r="G262" s="182"/>
    </row>
    <row r="263" ht="15.75" customHeight="1">
      <c r="A263" s="182"/>
      <c r="B263" s="182"/>
      <c r="C263" s="182"/>
      <c r="D263" s="182"/>
      <c r="E263" s="182"/>
      <c r="F263" s="182"/>
      <c r="G263" s="182"/>
    </row>
    <row r="264" ht="15.75" customHeight="1">
      <c r="A264" s="182"/>
      <c r="B264" s="182"/>
      <c r="C264" s="182"/>
      <c r="D264" s="182"/>
      <c r="E264" s="182"/>
      <c r="F264" s="182"/>
      <c r="G264" s="182"/>
    </row>
    <row r="265" ht="15.75" customHeight="1">
      <c r="A265" s="182"/>
      <c r="B265" s="182"/>
      <c r="C265" s="182"/>
      <c r="D265" s="182"/>
      <c r="E265" s="182"/>
      <c r="F265" s="182"/>
      <c r="G265" s="182"/>
    </row>
    <row r="266" ht="15.75" customHeight="1">
      <c r="A266" s="182"/>
      <c r="B266" s="182"/>
      <c r="C266" s="182"/>
      <c r="D266" s="182"/>
      <c r="E266" s="182"/>
      <c r="F266" s="182"/>
      <c r="G266" s="182"/>
    </row>
    <row r="267" ht="15.75" customHeight="1">
      <c r="A267" s="182"/>
      <c r="B267" s="182"/>
      <c r="C267" s="182"/>
      <c r="D267" s="182"/>
      <c r="E267" s="182"/>
      <c r="F267" s="182"/>
      <c r="G267" s="182"/>
    </row>
    <row r="268" ht="15.75" customHeight="1">
      <c r="A268" s="182"/>
      <c r="B268" s="182"/>
      <c r="C268" s="182"/>
      <c r="D268" s="182"/>
      <c r="E268" s="182"/>
      <c r="F268" s="182"/>
      <c r="G268" s="182"/>
    </row>
    <row r="269" ht="15.75" customHeight="1">
      <c r="A269" s="182"/>
      <c r="B269" s="182"/>
      <c r="C269" s="182"/>
      <c r="D269" s="182"/>
      <c r="E269" s="182"/>
      <c r="F269" s="182"/>
      <c r="G269" s="182"/>
    </row>
    <row r="270" ht="15.75" customHeight="1">
      <c r="A270" s="182"/>
      <c r="B270" s="182"/>
      <c r="C270" s="182"/>
      <c r="D270" s="182"/>
      <c r="E270" s="182"/>
      <c r="F270" s="182"/>
      <c r="G270" s="182"/>
    </row>
    <row r="271" ht="15.75" customHeight="1">
      <c r="A271" s="182"/>
      <c r="B271" s="182"/>
      <c r="C271" s="182"/>
      <c r="D271" s="182"/>
      <c r="E271" s="182"/>
      <c r="F271" s="182"/>
      <c r="G271" s="182"/>
    </row>
    <row r="272" ht="15.75" customHeight="1">
      <c r="A272" s="182"/>
      <c r="B272" s="182"/>
      <c r="C272" s="182"/>
      <c r="D272" s="182"/>
      <c r="E272" s="182"/>
      <c r="F272" s="182"/>
      <c r="G272" s="182"/>
    </row>
    <row r="273" ht="15.75" customHeight="1">
      <c r="A273" s="182"/>
      <c r="B273" s="182"/>
      <c r="C273" s="182"/>
      <c r="D273" s="182"/>
      <c r="E273" s="182"/>
      <c r="F273" s="182"/>
      <c r="G273" s="182"/>
    </row>
    <row r="274" ht="15.75" customHeight="1">
      <c r="A274" s="182"/>
      <c r="B274" s="182"/>
      <c r="C274" s="182"/>
      <c r="D274" s="182"/>
      <c r="E274" s="182"/>
      <c r="F274" s="182"/>
      <c r="G274" s="182"/>
    </row>
    <row r="275" ht="15.75" customHeight="1">
      <c r="A275" s="182"/>
      <c r="B275" s="182"/>
      <c r="C275" s="182"/>
      <c r="D275" s="182"/>
      <c r="E275" s="182"/>
      <c r="F275" s="182"/>
      <c r="G275" s="182"/>
    </row>
    <row r="276" ht="15.75" customHeight="1">
      <c r="A276" s="182"/>
      <c r="B276" s="182"/>
      <c r="C276" s="182"/>
      <c r="D276" s="182"/>
      <c r="E276" s="182"/>
      <c r="F276" s="182"/>
      <c r="G276" s="182"/>
    </row>
    <row r="277" ht="15.75" customHeight="1">
      <c r="A277" s="182"/>
      <c r="B277" s="182"/>
      <c r="C277" s="182"/>
      <c r="D277" s="182"/>
      <c r="E277" s="182"/>
      <c r="F277" s="182"/>
      <c r="G277" s="182"/>
    </row>
    <row r="278" ht="15.75" customHeight="1">
      <c r="A278" s="182"/>
      <c r="B278" s="182"/>
      <c r="C278" s="182"/>
      <c r="D278" s="182"/>
      <c r="E278" s="182"/>
      <c r="F278" s="182"/>
      <c r="G278" s="182"/>
    </row>
    <row r="279" ht="15.75" customHeight="1">
      <c r="A279" s="182"/>
      <c r="B279" s="182"/>
      <c r="C279" s="182"/>
      <c r="D279" s="182"/>
      <c r="E279" s="182"/>
      <c r="F279" s="182"/>
      <c r="G279" s="182"/>
    </row>
    <row r="280" ht="15.75" customHeight="1">
      <c r="A280" s="182"/>
      <c r="B280" s="182"/>
      <c r="C280" s="182"/>
      <c r="D280" s="182"/>
      <c r="E280" s="182"/>
      <c r="F280" s="182"/>
      <c r="G280" s="182"/>
    </row>
    <row r="281" ht="15.75" customHeight="1">
      <c r="A281" s="182"/>
      <c r="B281" s="182"/>
      <c r="C281" s="182"/>
      <c r="D281" s="182"/>
      <c r="E281" s="182"/>
      <c r="F281" s="182"/>
      <c r="G281" s="182"/>
    </row>
    <row r="282" ht="15.75" customHeight="1">
      <c r="A282" s="182"/>
      <c r="B282" s="182"/>
      <c r="C282" s="182"/>
      <c r="D282" s="182"/>
      <c r="E282" s="182"/>
      <c r="F282" s="182"/>
      <c r="G282" s="182"/>
    </row>
    <row r="283" ht="15.75" customHeight="1">
      <c r="A283" s="182"/>
      <c r="B283" s="182"/>
      <c r="C283" s="182"/>
      <c r="D283" s="182"/>
      <c r="E283" s="182"/>
      <c r="F283" s="182"/>
      <c r="G283" s="182"/>
    </row>
    <row r="284" ht="15.75" customHeight="1">
      <c r="A284" s="182"/>
      <c r="B284" s="182"/>
      <c r="C284" s="182"/>
      <c r="D284" s="182"/>
      <c r="E284" s="182"/>
      <c r="F284" s="182"/>
      <c r="G284" s="182"/>
    </row>
    <row r="285" ht="15.75" customHeight="1">
      <c r="A285" s="182"/>
      <c r="B285" s="182"/>
      <c r="C285" s="182"/>
      <c r="D285" s="182"/>
      <c r="E285" s="182"/>
      <c r="F285" s="182"/>
      <c r="G285" s="182"/>
    </row>
    <row r="286" ht="15.75" customHeight="1">
      <c r="A286" s="182"/>
      <c r="B286" s="182"/>
      <c r="C286" s="182"/>
      <c r="D286" s="182"/>
      <c r="E286" s="182"/>
      <c r="F286" s="182"/>
      <c r="G286" s="182"/>
    </row>
    <row r="287" ht="15.75" customHeight="1">
      <c r="A287" s="182"/>
      <c r="B287" s="182"/>
      <c r="C287" s="182"/>
      <c r="D287" s="182"/>
      <c r="E287" s="182"/>
      <c r="F287" s="182"/>
      <c r="G287" s="182"/>
    </row>
    <row r="288" ht="15.75" customHeight="1">
      <c r="A288" s="182"/>
      <c r="B288" s="182"/>
      <c r="C288" s="182"/>
      <c r="D288" s="182"/>
      <c r="E288" s="182"/>
      <c r="F288" s="182"/>
      <c r="G288" s="182"/>
    </row>
    <row r="289" ht="15.75" customHeight="1">
      <c r="A289" s="182"/>
      <c r="B289" s="182"/>
      <c r="C289" s="182"/>
      <c r="D289" s="182"/>
      <c r="E289" s="182"/>
      <c r="F289" s="182"/>
      <c r="G289" s="182"/>
    </row>
    <row r="290" ht="15.75" customHeight="1">
      <c r="A290" s="182"/>
      <c r="B290" s="182"/>
      <c r="C290" s="182"/>
      <c r="D290" s="182"/>
      <c r="E290" s="182"/>
      <c r="F290" s="182"/>
      <c r="G290" s="182"/>
    </row>
    <row r="291" ht="15.75" customHeight="1">
      <c r="A291" s="182"/>
      <c r="B291" s="182"/>
      <c r="C291" s="182"/>
      <c r="D291" s="182"/>
      <c r="E291" s="182"/>
      <c r="F291" s="182"/>
      <c r="G291" s="182"/>
    </row>
    <row r="292" ht="15.75" customHeight="1">
      <c r="A292" s="182"/>
      <c r="B292" s="182"/>
      <c r="C292" s="182"/>
      <c r="D292" s="182"/>
      <c r="E292" s="182"/>
      <c r="F292" s="182"/>
      <c r="G292" s="182"/>
    </row>
    <row r="293" ht="15.75" customHeight="1">
      <c r="A293" s="182"/>
      <c r="B293" s="182"/>
      <c r="C293" s="182"/>
      <c r="D293" s="182"/>
      <c r="E293" s="182"/>
      <c r="F293" s="182"/>
      <c r="G293" s="182"/>
    </row>
    <row r="294" ht="15.75" customHeight="1">
      <c r="A294" s="182"/>
      <c r="B294" s="182"/>
      <c r="C294" s="182"/>
      <c r="D294" s="182"/>
      <c r="E294" s="182"/>
      <c r="F294" s="182"/>
      <c r="G294" s="182"/>
    </row>
    <row r="295" ht="15.75" customHeight="1">
      <c r="A295" s="182"/>
      <c r="B295" s="182"/>
      <c r="C295" s="182"/>
      <c r="D295" s="182"/>
      <c r="E295" s="182"/>
      <c r="F295" s="182"/>
      <c r="G295" s="182"/>
    </row>
    <row r="296" ht="15.75" customHeight="1">
      <c r="A296" s="182"/>
      <c r="B296" s="182"/>
      <c r="C296" s="182"/>
      <c r="D296" s="182"/>
      <c r="E296" s="182"/>
      <c r="F296" s="182"/>
      <c r="G296" s="182"/>
    </row>
    <row r="297" ht="15.75" customHeight="1">
      <c r="A297" s="182"/>
      <c r="B297" s="182"/>
      <c r="C297" s="182"/>
      <c r="D297" s="182"/>
      <c r="E297" s="182"/>
      <c r="F297" s="182"/>
      <c r="G297" s="182"/>
    </row>
    <row r="298" ht="15.75" customHeight="1">
      <c r="A298" s="182"/>
      <c r="B298" s="182"/>
      <c r="C298" s="182"/>
      <c r="D298" s="182"/>
      <c r="E298" s="182"/>
      <c r="F298" s="182"/>
      <c r="G298" s="182"/>
    </row>
    <row r="299" ht="15.75" customHeight="1">
      <c r="A299" s="182"/>
      <c r="B299" s="182"/>
      <c r="C299" s="182"/>
      <c r="D299" s="182"/>
      <c r="E299" s="182"/>
      <c r="F299" s="182"/>
      <c r="G299" s="182"/>
    </row>
    <row r="300" ht="15.75" customHeight="1">
      <c r="A300" s="182"/>
      <c r="B300" s="182"/>
      <c r="C300" s="182"/>
      <c r="D300" s="182"/>
      <c r="E300" s="182"/>
      <c r="F300" s="182"/>
      <c r="G300" s="182"/>
    </row>
    <row r="301" ht="15.75" customHeight="1">
      <c r="A301" s="182"/>
      <c r="B301" s="182"/>
      <c r="C301" s="182"/>
      <c r="D301" s="182"/>
      <c r="E301" s="182"/>
      <c r="F301" s="182"/>
      <c r="G301" s="182"/>
    </row>
    <row r="302" ht="15.75" customHeight="1">
      <c r="A302" s="182"/>
      <c r="B302" s="182"/>
      <c r="C302" s="182"/>
      <c r="D302" s="182"/>
      <c r="E302" s="182"/>
      <c r="F302" s="182"/>
      <c r="G302" s="182"/>
    </row>
    <row r="303" ht="15.75" customHeight="1">
      <c r="A303" s="182"/>
      <c r="B303" s="182"/>
      <c r="C303" s="182"/>
      <c r="D303" s="182"/>
      <c r="E303" s="182"/>
      <c r="F303" s="182"/>
      <c r="G303" s="182"/>
    </row>
    <row r="304" ht="15.75" customHeight="1">
      <c r="A304" s="182"/>
      <c r="B304" s="182"/>
      <c r="C304" s="182"/>
      <c r="D304" s="182"/>
      <c r="E304" s="182"/>
      <c r="F304" s="182"/>
      <c r="G304" s="182"/>
    </row>
    <row r="305" ht="15.75" customHeight="1">
      <c r="A305" s="182"/>
      <c r="B305" s="182"/>
      <c r="C305" s="182"/>
      <c r="D305" s="182"/>
      <c r="E305" s="182"/>
      <c r="F305" s="182"/>
      <c r="G305" s="182"/>
    </row>
    <row r="306" ht="15.75" customHeight="1">
      <c r="A306" s="182"/>
      <c r="B306" s="182"/>
      <c r="C306" s="182"/>
      <c r="D306" s="182"/>
      <c r="E306" s="182"/>
      <c r="F306" s="182"/>
      <c r="G306" s="182"/>
    </row>
    <row r="307" ht="15.75" customHeight="1">
      <c r="A307" s="182"/>
      <c r="B307" s="182"/>
      <c r="C307" s="182"/>
      <c r="D307" s="182"/>
      <c r="E307" s="182"/>
      <c r="F307" s="182"/>
      <c r="G307" s="182"/>
    </row>
    <row r="308" ht="15.75" customHeight="1">
      <c r="A308" s="182"/>
      <c r="B308" s="182"/>
      <c r="C308" s="182"/>
      <c r="D308" s="182"/>
      <c r="E308" s="182"/>
      <c r="F308" s="182"/>
      <c r="G308" s="182"/>
    </row>
    <row r="309" ht="15.75" customHeight="1">
      <c r="A309" s="182"/>
      <c r="B309" s="182"/>
      <c r="C309" s="182"/>
      <c r="D309" s="182"/>
      <c r="E309" s="182"/>
      <c r="F309" s="182"/>
      <c r="G309" s="182"/>
    </row>
    <row r="310" ht="15.75" customHeight="1">
      <c r="A310" s="182"/>
      <c r="B310" s="182"/>
      <c r="C310" s="182"/>
      <c r="D310" s="182"/>
      <c r="E310" s="182"/>
      <c r="F310" s="182"/>
      <c r="G310" s="182"/>
    </row>
    <row r="311" ht="15.75" customHeight="1">
      <c r="A311" s="182"/>
      <c r="B311" s="182"/>
      <c r="C311" s="182"/>
      <c r="D311" s="182"/>
      <c r="E311" s="182"/>
      <c r="F311" s="182"/>
      <c r="G311" s="182"/>
    </row>
    <row r="312" ht="15.75" customHeight="1">
      <c r="A312" s="182"/>
      <c r="B312" s="182"/>
      <c r="C312" s="182"/>
      <c r="D312" s="182"/>
      <c r="E312" s="182"/>
      <c r="F312" s="182"/>
      <c r="G312" s="182"/>
    </row>
    <row r="313" ht="15.75" customHeight="1">
      <c r="A313" s="182"/>
      <c r="B313" s="182"/>
      <c r="C313" s="182"/>
      <c r="D313" s="182"/>
      <c r="E313" s="182"/>
      <c r="F313" s="182"/>
      <c r="G313" s="182"/>
    </row>
    <row r="314" ht="15.75" customHeight="1">
      <c r="A314" s="182"/>
      <c r="B314" s="182"/>
      <c r="C314" s="182"/>
      <c r="D314" s="182"/>
      <c r="E314" s="182"/>
      <c r="F314" s="182"/>
      <c r="G314" s="182"/>
    </row>
    <row r="315" ht="15.75" customHeight="1">
      <c r="A315" s="182"/>
      <c r="B315" s="182"/>
      <c r="C315" s="182"/>
      <c r="D315" s="182"/>
      <c r="E315" s="182"/>
      <c r="F315" s="182"/>
      <c r="G315" s="182"/>
    </row>
    <row r="316" ht="15.75" customHeight="1">
      <c r="A316" s="182"/>
      <c r="B316" s="182"/>
      <c r="C316" s="182"/>
      <c r="D316" s="182"/>
      <c r="E316" s="182"/>
      <c r="F316" s="182"/>
      <c r="G316" s="182"/>
    </row>
    <row r="317" ht="15.75" customHeight="1">
      <c r="A317" s="182"/>
      <c r="B317" s="182"/>
      <c r="C317" s="182"/>
      <c r="D317" s="182"/>
      <c r="E317" s="182"/>
      <c r="F317" s="182"/>
      <c r="G317" s="182"/>
    </row>
    <row r="318" ht="15.75" customHeight="1">
      <c r="A318" s="182"/>
      <c r="B318" s="182"/>
      <c r="C318" s="182"/>
      <c r="D318" s="182"/>
      <c r="E318" s="182"/>
      <c r="F318" s="182"/>
      <c r="G318" s="182"/>
    </row>
    <row r="319" ht="15.75" customHeight="1">
      <c r="A319" s="182"/>
      <c r="B319" s="182"/>
      <c r="C319" s="182"/>
      <c r="D319" s="182"/>
      <c r="E319" s="182"/>
      <c r="F319" s="182"/>
      <c r="G319" s="182"/>
    </row>
    <row r="320" ht="15.75" customHeight="1">
      <c r="A320" s="182"/>
      <c r="B320" s="182"/>
      <c r="C320" s="182"/>
      <c r="D320" s="182"/>
      <c r="E320" s="182"/>
      <c r="F320" s="182"/>
      <c r="G320" s="182"/>
    </row>
    <row r="321" ht="15.75" customHeight="1">
      <c r="A321" s="182"/>
      <c r="B321" s="182"/>
      <c r="C321" s="182"/>
      <c r="D321" s="182"/>
      <c r="E321" s="182"/>
      <c r="F321" s="182"/>
      <c r="G321" s="182"/>
    </row>
    <row r="322" ht="15.75" customHeight="1">
      <c r="A322" s="182"/>
      <c r="B322" s="182"/>
      <c r="C322" s="182"/>
      <c r="D322" s="182"/>
      <c r="E322" s="182"/>
      <c r="F322" s="182"/>
      <c r="G322" s="182"/>
    </row>
    <row r="323" ht="15.75" customHeight="1">
      <c r="A323" s="182"/>
      <c r="B323" s="182"/>
      <c r="C323" s="182"/>
      <c r="D323" s="182"/>
      <c r="E323" s="182"/>
      <c r="F323" s="182"/>
      <c r="G323" s="182"/>
    </row>
    <row r="324" ht="15.75" customHeight="1">
      <c r="A324" s="182"/>
      <c r="B324" s="182"/>
      <c r="C324" s="182"/>
      <c r="D324" s="182"/>
      <c r="E324" s="182"/>
      <c r="F324" s="182"/>
      <c r="G324" s="182"/>
    </row>
    <row r="325" ht="15.75" customHeight="1">
      <c r="A325" s="182"/>
      <c r="B325" s="182"/>
      <c r="C325" s="182"/>
      <c r="D325" s="182"/>
      <c r="E325" s="182"/>
      <c r="F325" s="182"/>
      <c r="G325" s="182"/>
    </row>
    <row r="326" ht="15.75" customHeight="1">
      <c r="A326" s="182"/>
      <c r="B326" s="182"/>
      <c r="C326" s="182"/>
      <c r="D326" s="182"/>
      <c r="E326" s="182"/>
      <c r="F326" s="182"/>
      <c r="G326" s="182"/>
    </row>
    <row r="327" ht="15.75" customHeight="1">
      <c r="A327" s="182"/>
      <c r="B327" s="182"/>
      <c r="C327" s="182"/>
      <c r="D327" s="182"/>
      <c r="E327" s="182"/>
      <c r="F327" s="182"/>
      <c r="G327" s="182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A1:G1"/>
    <mergeCell ref="A3:C3"/>
    <mergeCell ref="D3:E3"/>
    <mergeCell ref="F3:G3"/>
    <mergeCell ref="B4:C4"/>
    <mergeCell ref="D4:E4"/>
    <mergeCell ref="F4:G4"/>
    <mergeCell ref="D7:E7"/>
    <mergeCell ref="F7:G7"/>
    <mergeCell ref="B5:C5"/>
    <mergeCell ref="D5:E5"/>
    <mergeCell ref="F5:G5"/>
    <mergeCell ref="B6:C6"/>
    <mergeCell ref="D6:E6"/>
    <mergeCell ref="F6:G6"/>
    <mergeCell ref="B7:C7"/>
    <mergeCell ref="D10:E10"/>
    <mergeCell ref="F10:G10"/>
    <mergeCell ref="B8:C8"/>
    <mergeCell ref="D8:E8"/>
    <mergeCell ref="F8:G8"/>
    <mergeCell ref="B9:C9"/>
    <mergeCell ref="D9:E9"/>
    <mergeCell ref="F9:G9"/>
    <mergeCell ref="B10:C10"/>
    <mergeCell ref="B11:C11"/>
    <mergeCell ref="D11:E11"/>
    <mergeCell ref="F11:G11"/>
    <mergeCell ref="D12:E12"/>
    <mergeCell ref="F12:G12"/>
    <mergeCell ref="A13:F13"/>
    <mergeCell ref="B14:G14"/>
    <mergeCell ref="B12:C12"/>
    <mergeCell ref="A15:C16"/>
    <mergeCell ref="D15:D16"/>
    <mergeCell ref="E15:E16"/>
    <mergeCell ref="A17:C17"/>
    <mergeCell ref="B18:C18"/>
    <mergeCell ref="B19:C19"/>
    <mergeCell ref="B20:C20"/>
    <mergeCell ref="A21:C21"/>
    <mergeCell ref="B22:C22"/>
    <mergeCell ref="A23:C23"/>
    <mergeCell ref="B24:G24"/>
    <mergeCell ref="D25:D26"/>
    <mergeCell ref="E25:E26"/>
    <mergeCell ref="A25:C26"/>
    <mergeCell ref="A27:C27"/>
    <mergeCell ref="B28:C28"/>
    <mergeCell ref="B29:C29"/>
    <mergeCell ref="A30:C30"/>
    <mergeCell ref="B31:C31"/>
    <mergeCell ref="B32:C32"/>
    <mergeCell ref="B33:C33"/>
    <mergeCell ref="A34:C34"/>
    <mergeCell ref="B35:C35"/>
    <mergeCell ref="B36:C36"/>
    <mergeCell ref="B37:C37"/>
    <mergeCell ref="B38:C38"/>
    <mergeCell ref="B39:C39"/>
    <mergeCell ref="B40:C40"/>
    <mergeCell ref="B41:C41"/>
    <mergeCell ref="B42:C42"/>
    <mergeCell ref="A43:C43"/>
    <mergeCell ref="B44:C44"/>
    <mergeCell ref="B45:C45"/>
    <mergeCell ref="B46:C46"/>
    <mergeCell ref="D53:D54"/>
    <mergeCell ref="E53:E54"/>
    <mergeCell ref="B47:C47"/>
    <mergeCell ref="B48:C48"/>
    <mergeCell ref="B49:C49"/>
    <mergeCell ref="B50:C50"/>
    <mergeCell ref="A51:C51"/>
    <mergeCell ref="B52:G52"/>
    <mergeCell ref="A53:C54"/>
    <mergeCell ref="A55:C55"/>
    <mergeCell ref="B56:C56"/>
    <mergeCell ref="A57:C57"/>
    <mergeCell ref="B58:C58"/>
    <mergeCell ref="A59:C59"/>
    <mergeCell ref="B60:C60"/>
    <mergeCell ref="B61:C61"/>
    <mergeCell ref="A100:C100"/>
    <mergeCell ref="B101:C101"/>
    <mergeCell ref="B102:C102"/>
    <mergeCell ref="A103:C103"/>
    <mergeCell ref="B104:C104"/>
    <mergeCell ref="A105:C105"/>
    <mergeCell ref="B106:C106"/>
    <mergeCell ref="D114:D115"/>
    <mergeCell ref="E114:E115"/>
    <mergeCell ref="B107:C107"/>
    <mergeCell ref="B108:C108"/>
    <mergeCell ref="A109:C109"/>
    <mergeCell ref="B110:C110"/>
    <mergeCell ref="A111:C111"/>
    <mergeCell ref="B113:G113"/>
    <mergeCell ref="A114:C115"/>
    <mergeCell ref="A124:C125"/>
    <mergeCell ref="D124:D125"/>
    <mergeCell ref="E124:E125"/>
    <mergeCell ref="B126:C126"/>
    <mergeCell ref="A127:C127"/>
    <mergeCell ref="A116:C116"/>
    <mergeCell ref="B117:C117"/>
    <mergeCell ref="A118:C118"/>
    <mergeCell ref="B119:C119"/>
    <mergeCell ref="B120:C120"/>
    <mergeCell ref="A121:C121"/>
    <mergeCell ref="B123:G123"/>
    <mergeCell ref="D68:D69"/>
    <mergeCell ref="E68:E69"/>
    <mergeCell ref="B62:C62"/>
    <mergeCell ref="A63:C63"/>
    <mergeCell ref="B64:C64"/>
    <mergeCell ref="B65:C65"/>
    <mergeCell ref="A66:C66"/>
    <mergeCell ref="B67:G67"/>
    <mergeCell ref="A68:C69"/>
    <mergeCell ref="D77:D78"/>
    <mergeCell ref="E77:E78"/>
    <mergeCell ref="B70:C70"/>
    <mergeCell ref="B71:C71"/>
    <mergeCell ref="B72:C72"/>
    <mergeCell ref="B73:C73"/>
    <mergeCell ref="A74:C74"/>
    <mergeCell ref="B76:G76"/>
    <mergeCell ref="A77:C78"/>
    <mergeCell ref="B79:C79"/>
    <mergeCell ref="B80:C80"/>
    <mergeCell ref="A81:C81"/>
    <mergeCell ref="B83:G83"/>
    <mergeCell ref="A84:C85"/>
    <mergeCell ref="D84:D85"/>
    <mergeCell ref="E84:E85"/>
    <mergeCell ref="A86:C86"/>
    <mergeCell ref="B87:C87"/>
    <mergeCell ref="B88:C88"/>
    <mergeCell ref="A89:C89"/>
    <mergeCell ref="B90:C90"/>
    <mergeCell ref="B91:C91"/>
    <mergeCell ref="B94:G94"/>
    <mergeCell ref="A92:C92"/>
    <mergeCell ref="A95:C96"/>
    <mergeCell ref="D95:D96"/>
    <mergeCell ref="E95:E96"/>
    <mergeCell ref="A97:C97"/>
    <mergeCell ref="B98:C98"/>
    <mergeCell ref="B99:C9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98.63"/>
    <col customWidth="1" min="3" max="6" width="12.63"/>
  </cols>
  <sheetData>
    <row r="1" ht="15.75" customHeight="1">
      <c r="A1" s="183"/>
      <c r="B1" s="184" t="s">
        <v>268</v>
      </c>
    </row>
    <row r="2" ht="15.75" customHeight="1">
      <c r="A2" s="185">
        <v>1.0</v>
      </c>
      <c r="B2" s="186" t="s">
        <v>269</v>
      </c>
    </row>
    <row r="3" ht="15.75" customHeight="1">
      <c r="A3" s="187"/>
      <c r="B3" s="188" t="s">
        <v>270</v>
      </c>
    </row>
    <row r="4" ht="15.75" customHeight="1">
      <c r="A4" s="185">
        <v>2.0</v>
      </c>
      <c r="B4" s="186" t="s">
        <v>271</v>
      </c>
    </row>
    <row r="5" ht="15.75" customHeight="1">
      <c r="A5" s="187"/>
      <c r="B5" s="188" t="s">
        <v>272</v>
      </c>
    </row>
    <row r="6" ht="15.75" customHeight="1">
      <c r="A6" s="185">
        <v>3.0</v>
      </c>
      <c r="B6" s="186" t="s">
        <v>273</v>
      </c>
    </row>
    <row r="7" ht="15.75" customHeight="1">
      <c r="A7" s="187"/>
      <c r="B7" s="188" t="s">
        <v>274</v>
      </c>
    </row>
    <row r="8" ht="15.75" customHeight="1">
      <c r="A8" s="185">
        <v>4.0</v>
      </c>
      <c r="B8" s="186" t="s">
        <v>275</v>
      </c>
    </row>
    <row r="9" ht="15.75" customHeight="1">
      <c r="A9" s="187"/>
      <c r="B9" s="188" t="s">
        <v>276</v>
      </c>
    </row>
    <row r="10" ht="15.75" customHeight="1">
      <c r="A10" s="185">
        <v>5.0</v>
      </c>
      <c r="B10" s="186" t="s">
        <v>277</v>
      </c>
    </row>
    <row r="11" ht="15.75" customHeight="1">
      <c r="A11" s="187"/>
      <c r="B11" s="189" t="s">
        <v>278</v>
      </c>
    </row>
    <row r="12" ht="15.75" customHeight="1">
      <c r="A12" s="190">
        <v>6.0</v>
      </c>
      <c r="B12" s="186" t="s">
        <v>279</v>
      </c>
    </row>
    <row r="13" ht="15.75" customHeight="1">
      <c r="A13" s="187"/>
      <c r="B13" s="191" t="s">
        <v>280</v>
      </c>
    </row>
    <row r="14" ht="15.75" customHeight="1">
      <c r="A14" s="190">
        <v>7.0</v>
      </c>
      <c r="B14" s="186" t="s">
        <v>281</v>
      </c>
    </row>
    <row r="15" ht="15.75" customHeight="1">
      <c r="A15" s="187"/>
      <c r="B15" s="188" t="s">
        <v>282</v>
      </c>
    </row>
    <row r="16" ht="15.75" customHeight="1">
      <c r="A16" s="190">
        <v>8.0</v>
      </c>
      <c r="B16" s="186" t="s">
        <v>283</v>
      </c>
    </row>
    <row r="17" ht="15.75" customHeight="1">
      <c r="A17" s="187"/>
      <c r="B17" s="188" t="s">
        <v>284</v>
      </c>
    </row>
    <row r="18" ht="15.75" customHeight="1">
      <c r="A18" s="190">
        <v>9.0</v>
      </c>
      <c r="B18" s="186" t="s">
        <v>285</v>
      </c>
    </row>
    <row r="19" ht="15.75" customHeight="1">
      <c r="A19" s="187"/>
      <c r="B19" s="192" t="s">
        <v>286</v>
      </c>
    </row>
    <row r="20" ht="15.75" customHeight="1">
      <c r="A20" s="190">
        <v>10.0</v>
      </c>
      <c r="B20" s="186" t="s">
        <v>287</v>
      </c>
    </row>
    <row r="21" ht="15.75" customHeight="1">
      <c r="A21" s="187"/>
      <c r="B21" s="188" t="s">
        <v>288</v>
      </c>
    </row>
    <row r="22" ht="15.75" customHeight="1">
      <c r="A22" s="190">
        <v>11.0</v>
      </c>
      <c r="B22" s="186" t="s">
        <v>289</v>
      </c>
    </row>
    <row r="23" ht="15.75" customHeight="1">
      <c r="A23" s="187"/>
      <c r="B23" s="192" t="s">
        <v>290</v>
      </c>
    </row>
    <row r="24" ht="15.75" customHeight="1">
      <c r="A24" s="190">
        <v>12.0</v>
      </c>
      <c r="B24" s="186" t="s">
        <v>291</v>
      </c>
    </row>
    <row r="25" ht="15.75" customHeight="1">
      <c r="A25" s="187"/>
      <c r="B25" s="188" t="s">
        <v>292</v>
      </c>
    </row>
    <row r="26" ht="15.75" hidden="1" customHeight="1">
      <c r="A26" s="190">
        <v>13.0</v>
      </c>
      <c r="B26" s="186" t="s">
        <v>293</v>
      </c>
    </row>
    <row r="27" ht="15.75" customHeight="1">
      <c r="A27" s="187"/>
      <c r="B27" s="187"/>
    </row>
    <row r="28" ht="15.75" customHeight="1">
      <c r="A28" s="187"/>
      <c r="B28" s="187"/>
    </row>
    <row r="29" ht="15.75" customHeight="1">
      <c r="A29" s="193" t="s">
        <v>294</v>
      </c>
      <c r="B29" s="194"/>
    </row>
    <row r="30" ht="15.75" customHeight="1">
      <c r="A30" s="195" t="s">
        <v>295</v>
      </c>
      <c r="B30" s="196"/>
    </row>
    <row r="31" ht="15.75" customHeight="1">
      <c r="A31" s="197">
        <v>1.0</v>
      </c>
      <c r="B31" s="198" t="s">
        <v>296</v>
      </c>
    </row>
    <row r="32" ht="15.75" customHeight="1">
      <c r="A32" s="199">
        <v>45292.0</v>
      </c>
      <c r="B32" s="200" t="s">
        <v>297</v>
      </c>
    </row>
    <row r="33" ht="15.75" customHeight="1">
      <c r="A33" s="201">
        <v>45323.0</v>
      </c>
      <c r="B33" s="202" t="s">
        <v>298</v>
      </c>
    </row>
    <row r="34" ht="15.75" customHeight="1">
      <c r="A34" s="201">
        <v>45352.0</v>
      </c>
      <c r="B34" s="202" t="s">
        <v>299</v>
      </c>
    </row>
    <row r="35" ht="15.75" customHeight="1">
      <c r="A35" s="201">
        <v>45383.0</v>
      </c>
      <c r="B35" s="202" t="s">
        <v>300</v>
      </c>
    </row>
    <row r="36" ht="15.75" customHeight="1">
      <c r="A36" s="201">
        <v>45413.0</v>
      </c>
      <c r="B36" s="202" t="s">
        <v>301</v>
      </c>
    </row>
    <row r="37" ht="15.75" customHeight="1">
      <c r="A37" s="201">
        <v>45444.0</v>
      </c>
      <c r="B37" s="202" t="s">
        <v>302</v>
      </c>
    </row>
    <row r="38" ht="15.75" customHeight="1">
      <c r="A38" s="203">
        <v>45474.0</v>
      </c>
      <c r="B38" s="204" t="s">
        <v>303</v>
      </c>
    </row>
    <row r="39" ht="15.75" customHeight="1">
      <c r="A39" s="197">
        <v>2.0</v>
      </c>
      <c r="B39" s="205" t="s">
        <v>304</v>
      </c>
    </row>
    <row r="40" ht="15.75" customHeight="1">
      <c r="A40" s="199">
        <v>45293.0</v>
      </c>
      <c r="B40" s="200" t="s">
        <v>305</v>
      </c>
    </row>
    <row r="41" ht="15.75" customHeight="1">
      <c r="A41" s="201">
        <v>45324.0</v>
      </c>
      <c r="B41" s="206" t="s">
        <v>306</v>
      </c>
    </row>
    <row r="42" ht="15.75" customHeight="1">
      <c r="A42" s="201">
        <v>45353.0</v>
      </c>
      <c r="B42" s="206" t="s">
        <v>307</v>
      </c>
    </row>
    <row r="43" ht="15.75" customHeight="1">
      <c r="A43" s="201">
        <v>45384.0</v>
      </c>
      <c r="B43" s="202" t="s">
        <v>308</v>
      </c>
    </row>
    <row r="44" ht="15.75" customHeight="1">
      <c r="A44" s="201">
        <v>45414.0</v>
      </c>
      <c r="B44" s="202" t="s">
        <v>309</v>
      </c>
    </row>
    <row r="45" ht="15.75" customHeight="1">
      <c r="A45" s="201">
        <v>45445.0</v>
      </c>
      <c r="B45" s="206" t="s">
        <v>310</v>
      </c>
    </row>
    <row r="46" ht="15.75" customHeight="1">
      <c r="A46" s="201">
        <v>45475.0</v>
      </c>
      <c r="B46" s="202" t="s">
        <v>311</v>
      </c>
    </row>
    <row r="47" ht="15.75" customHeight="1">
      <c r="A47" s="201">
        <v>45506.0</v>
      </c>
      <c r="B47" s="202" t="s">
        <v>312</v>
      </c>
    </row>
    <row r="48" ht="15.75" customHeight="1">
      <c r="A48" s="201">
        <v>45537.0</v>
      </c>
      <c r="B48" s="202" t="s">
        <v>313</v>
      </c>
    </row>
    <row r="49" ht="15.75" customHeight="1">
      <c r="A49" s="201">
        <v>45567.0</v>
      </c>
      <c r="B49" s="202" t="s">
        <v>314</v>
      </c>
    </row>
    <row r="50" ht="15.75" customHeight="1">
      <c r="A50" s="207">
        <v>45598.0</v>
      </c>
      <c r="B50" s="208" t="s">
        <v>315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9:B29"/>
    <mergeCell ref="A30:B3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